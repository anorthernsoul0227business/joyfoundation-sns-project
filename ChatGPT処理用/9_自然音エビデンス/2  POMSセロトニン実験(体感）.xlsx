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charts/chart8.xml" ContentType="application/vnd.openxmlformats-officedocument.drawingml.char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135" windowWidth="9885" windowHeight="5640" firstSheet="1" activeTab="1"/>
  </bookViews>
  <sheets>
    <sheet name="元データ" sheetId="1" r:id="rId1"/>
    <sheet name="平均値のみ" sheetId="6" r:id="rId2"/>
    <sheet name="ｎ９グラフのみ" sheetId="9" r:id="rId3"/>
    <sheet name="表・グラフ" sheetId="2" r:id="rId4"/>
    <sheet name="作成用データ" sheetId="3" r:id="rId5"/>
  </sheets>
  <calcPr calcId="114210"/>
</workbook>
</file>

<file path=xl/calcChain.xml><?xml version="1.0" encoding="utf-8"?>
<calcChain xmlns="http://schemas.openxmlformats.org/spreadsheetml/2006/main">
  <c r="C34" i="3"/>
  <c r="H70"/>
  <c r="H89"/>
  <c r="G70"/>
  <c r="G89"/>
  <c r="F70"/>
  <c r="F89"/>
  <c r="E70"/>
  <c r="E89"/>
  <c r="D70"/>
  <c r="D89"/>
  <c r="C70"/>
  <c r="C89"/>
  <c r="C84"/>
  <c r="C90"/>
  <c r="D84"/>
  <c r="D90"/>
  <c r="E84"/>
  <c r="E90"/>
  <c r="F84"/>
  <c r="F90"/>
  <c r="G84"/>
  <c r="G90"/>
  <c r="H84"/>
  <c r="H90"/>
  <c r="I84"/>
  <c r="I83"/>
  <c r="H83"/>
  <c r="G83"/>
  <c r="F83"/>
  <c r="E83"/>
  <c r="D83"/>
  <c r="C83"/>
  <c r="I70"/>
  <c r="I69"/>
  <c r="H69"/>
  <c r="G69"/>
  <c r="F69"/>
  <c r="E69"/>
  <c r="D69"/>
  <c r="C69"/>
  <c r="H12"/>
  <c r="G12"/>
  <c r="F12"/>
  <c r="E12"/>
  <c r="D12"/>
  <c r="C12"/>
  <c r="D34"/>
  <c r="H34"/>
  <c r="G34"/>
  <c r="F34"/>
  <c r="E34"/>
  <c r="C14" i="2"/>
  <c r="P17"/>
  <c r="N17"/>
  <c r="L17"/>
  <c r="J17"/>
  <c r="H17"/>
  <c r="F17"/>
  <c r="D17"/>
  <c r="N14"/>
  <c r="M14"/>
  <c r="L14"/>
  <c r="K14"/>
  <c r="J14"/>
  <c r="I14"/>
  <c r="H14"/>
  <c r="G14"/>
  <c r="F14"/>
  <c r="E14"/>
  <c r="D14"/>
  <c r="P16" i="1"/>
  <c r="N16"/>
  <c r="L16"/>
  <c r="J16"/>
  <c r="H16"/>
  <c r="F16"/>
  <c r="D16"/>
  <c r="J13"/>
  <c r="I13"/>
  <c r="N13"/>
  <c r="M13"/>
  <c r="C13"/>
  <c r="D13"/>
  <c r="E13"/>
  <c r="F13"/>
  <c r="G13"/>
  <c r="H13"/>
  <c r="K13"/>
  <c r="L13"/>
</calcChain>
</file>

<file path=xl/sharedStrings.xml><?xml version="1.0" encoding="utf-8"?>
<sst xmlns="http://schemas.openxmlformats.org/spreadsheetml/2006/main" count="184" uniqueCount="61">
  <si>
    <t>前</t>
    <rPh sb="0" eb="1">
      <t>マエ</t>
    </rPh>
    <phoneticPr fontId="2"/>
  </si>
  <si>
    <t>後</t>
    <rPh sb="0" eb="1">
      <t>アト</t>
    </rPh>
    <phoneticPr fontId="2"/>
  </si>
  <si>
    <t>　　緊張－不安</t>
    <rPh sb="2" eb="4">
      <t>キンチョウ</t>
    </rPh>
    <rPh sb="5" eb="7">
      <t>フアン</t>
    </rPh>
    <phoneticPr fontId="2"/>
  </si>
  <si>
    <t>　　抑うつー落込み</t>
    <rPh sb="2" eb="3">
      <t>ヨク</t>
    </rPh>
    <rPh sb="6" eb="7">
      <t>オ</t>
    </rPh>
    <rPh sb="7" eb="8">
      <t>コ</t>
    </rPh>
    <phoneticPr fontId="2"/>
  </si>
  <si>
    <t>　　怒り―敵意</t>
    <rPh sb="2" eb="3">
      <t>イカ</t>
    </rPh>
    <rPh sb="5" eb="7">
      <t>テキイ</t>
    </rPh>
    <phoneticPr fontId="2"/>
  </si>
  <si>
    <t>　　　　　活気</t>
    <rPh sb="5" eb="7">
      <t>カッキ</t>
    </rPh>
    <phoneticPr fontId="2"/>
  </si>
  <si>
    <t>　　　　　疲労</t>
    <rPh sb="5" eb="7">
      <t>ヒロウ</t>
    </rPh>
    <phoneticPr fontId="2"/>
  </si>
  <si>
    <t>　　　　　混乱</t>
    <rPh sb="5" eb="7">
      <t>コンラン</t>
    </rPh>
    <phoneticPr fontId="2"/>
  </si>
  <si>
    <t xml:space="preserve">watanabe </t>
    <phoneticPr fontId="2"/>
  </si>
  <si>
    <t>saito</t>
    <phoneticPr fontId="2"/>
  </si>
  <si>
    <t xml:space="preserve">         total</t>
    <phoneticPr fontId="2"/>
  </si>
  <si>
    <t>nina</t>
    <phoneticPr fontId="2"/>
  </si>
  <si>
    <t>tikuma</t>
    <phoneticPr fontId="2"/>
  </si>
  <si>
    <t>koyama</t>
    <phoneticPr fontId="2"/>
  </si>
  <si>
    <t>muramatu</t>
    <phoneticPr fontId="2"/>
  </si>
  <si>
    <t>yu</t>
    <phoneticPr fontId="2"/>
  </si>
  <si>
    <t>sugiyama</t>
    <phoneticPr fontId="2"/>
  </si>
  <si>
    <t>fujimori</t>
    <phoneticPr fontId="2"/>
  </si>
  <si>
    <t xml:space="preserve"> </t>
    <phoneticPr fontId="2"/>
  </si>
  <si>
    <t>名前</t>
    <rPh sb="0" eb="2">
      <t>ナマエ</t>
    </rPh>
    <phoneticPr fontId="2"/>
  </si>
  <si>
    <t>年齢</t>
    <rPh sb="0" eb="2">
      <t>ネンレイ</t>
    </rPh>
    <phoneticPr fontId="2"/>
  </si>
  <si>
    <t>前</t>
    <rPh sb="0" eb="1">
      <t>ゼン</t>
    </rPh>
    <phoneticPr fontId="2"/>
  </si>
  <si>
    <t>後</t>
    <rPh sb="0" eb="1">
      <t>ゴ</t>
    </rPh>
    <phoneticPr fontId="2"/>
  </si>
  <si>
    <t>Ｗ</t>
    <phoneticPr fontId="2"/>
  </si>
  <si>
    <t>Ｓ</t>
    <phoneticPr fontId="2"/>
  </si>
  <si>
    <t>Ｎ</t>
    <phoneticPr fontId="2"/>
  </si>
  <si>
    <t>Ｔ</t>
    <phoneticPr fontId="2"/>
  </si>
  <si>
    <t>Ｋ</t>
    <phoneticPr fontId="2"/>
  </si>
  <si>
    <t>Ｍ</t>
    <phoneticPr fontId="2"/>
  </si>
  <si>
    <t>Ｙ</t>
    <phoneticPr fontId="2"/>
  </si>
  <si>
    <t>Ｆ</t>
    <phoneticPr fontId="2"/>
  </si>
  <si>
    <t>Ｕ</t>
    <phoneticPr fontId="2"/>
  </si>
  <si>
    <t>　 　緊張－不安</t>
    <rPh sb="3" eb="5">
      <t>キンチョウ</t>
    </rPh>
    <rPh sb="6" eb="8">
      <t>フアン</t>
    </rPh>
    <phoneticPr fontId="2"/>
  </si>
  <si>
    <t>　　 怒り―敵意</t>
    <rPh sb="3" eb="4">
      <t>イカ</t>
    </rPh>
    <rPh sb="6" eb="8">
      <t>テキイ</t>
    </rPh>
    <phoneticPr fontId="2"/>
  </si>
  <si>
    <t xml:space="preserve">          total</t>
    <phoneticPr fontId="2"/>
  </si>
  <si>
    <t>緊張－不安</t>
    <rPh sb="0" eb="2">
      <t>キンチョウ</t>
    </rPh>
    <rPh sb="3" eb="5">
      <t>フアン</t>
    </rPh>
    <phoneticPr fontId="2"/>
  </si>
  <si>
    <t>怒り―敵意</t>
    <rPh sb="0" eb="1">
      <t>イカ</t>
    </rPh>
    <rPh sb="3" eb="5">
      <t>テキイ</t>
    </rPh>
    <phoneticPr fontId="2"/>
  </si>
  <si>
    <t>抑うつー落込み</t>
    <rPh sb="0" eb="1">
      <t>ヨク</t>
    </rPh>
    <rPh sb="4" eb="5">
      <t>オ</t>
    </rPh>
    <rPh sb="5" eb="6">
      <t>コ</t>
    </rPh>
    <phoneticPr fontId="2"/>
  </si>
  <si>
    <t>活気</t>
    <rPh sb="0" eb="2">
      <t>カッキ</t>
    </rPh>
    <phoneticPr fontId="2"/>
  </si>
  <si>
    <t>疲労</t>
    <rPh sb="0" eb="2">
      <t>ヒロウ</t>
    </rPh>
    <phoneticPr fontId="2"/>
  </si>
  <si>
    <t>混乱</t>
    <rPh sb="0" eb="2">
      <t>コンラン</t>
    </rPh>
    <phoneticPr fontId="2"/>
  </si>
  <si>
    <t>total</t>
    <phoneticPr fontId="2"/>
  </si>
  <si>
    <t>施術前</t>
    <rPh sb="0" eb="1">
      <t>セ</t>
    </rPh>
    <rPh sb="1" eb="2">
      <t>ジュツ</t>
    </rPh>
    <rPh sb="2" eb="3">
      <t>マエ</t>
    </rPh>
    <phoneticPr fontId="2"/>
  </si>
  <si>
    <t>施術後</t>
    <rPh sb="0" eb="1">
      <t>セ</t>
    </rPh>
    <rPh sb="1" eb="2">
      <t>ジュツ</t>
    </rPh>
    <rPh sb="2" eb="3">
      <t>アト</t>
    </rPh>
    <phoneticPr fontId="2"/>
  </si>
  <si>
    <t>合計</t>
    <rPh sb="0" eb="1">
      <t>ゴウ</t>
    </rPh>
    <rPh sb="1" eb="2">
      <t>ケイ</t>
    </rPh>
    <phoneticPr fontId="2"/>
  </si>
  <si>
    <t>平均</t>
    <rPh sb="0" eb="2">
      <t>ヘイキン</t>
    </rPh>
    <phoneticPr fontId="2"/>
  </si>
  <si>
    <r>
      <t xml:space="preserve"> 心理調査ＰＯＭＳ 測定表 </t>
    </r>
    <r>
      <rPr>
        <sz val="11"/>
        <color indexed="8"/>
        <rFont val="ＭＳ Ｐゴシック"/>
        <family val="3"/>
        <charset val="128"/>
      </rPr>
      <t>（参考：サウンドヒーリング施術による変化／ｎ９）</t>
    </r>
    <rPh sb="1" eb="3">
      <t>シンリ</t>
    </rPh>
    <rPh sb="3" eb="5">
      <t>チョウサ</t>
    </rPh>
    <rPh sb="10" eb="12">
      <t>ソクテイ</t>
    </rPh>
    <rPh sb="12" eb="13">
      <t>ヒョウ</t>
    </rPh>
    <rPh sb="15" eb="17">
      <t>サンコウ</t>
    </rPh>
    <rPh sb="27" eb="28">
      <t>セ</t>
    </rPh>
    <rPh sb="28" eb="29">
      <t>ジュツ</t>
    </rPh>
    <rPh sb="32" eb="34">
      <t>ヘンカ</t>
    </rPh>
    <phoneticPr fontId="2"/>
  </si>
  <si>
    <r>
      <t xml:space="preserve"> 心理調査ＰＯＭＳ 測定グラフ</t>
    </r>
    <r>
      <rPr>
        <sz val="11"/>
        <color theme="1"/>
        <rFont val="ＭＳ Ｐゴシック"/>
        <family val="3"/>
        <charset val="128"/>
        <scheme val="minor"/>
      </rPr>
      <t xml:space="preserve"> （参考：サウンドヒーリング施術による変化／ｎ９）</t>
    </r>
    <phoneticPr fontId="2"/>
  </si>
  <si>
    <t>前</t>
    <rPh sb="0" eb="1">
      <t>ゼン</t>
    </rPh>
    <phoneticPr fontId="2"/>
  </si>
  <si>
    <t>後</t>
    <rPh sb="0" eb="1">
      <t>ゴ</t>
    </rPh>
    <phoneticPr fontId="2"/>
  </si>
  <si>
    <t>平均</t>
    <rPh sb="0" eb="2">
      <t>ヘイキン</t>
    </rPh>
    <phoneticPr fontId="2"/>
  </si>
  <si>
    <t>施術後</t>
    <rPh sb="0" eb="1">
      <t>セ</t>
    </rPh>
    <rPh sb="1" eb="2">
      <t>ジュツ</t>
    </rPh>
    <rPh sb="2" eb="3">
      <t>ゴ</t>
    </rPh>
    <phoneticPr fontId="2"/>
  </si>
  <si>
    <t>施術前</t>
    <rPh sb="0" eb="1">
      <t>セ</t>
    </rPh>
    <rPh sb="1" eb="2">
      <t>ジュツ</t>
    </rPh>
    <rPh sb="2" eb="3">
      <t>マエ</t>
    </rPh>
    <phoneticPr fontId="2"/>
  </si>
  <si>
    <t>施術後</t>
    <rPh sb="0" eb="1">
      <t>セ</t>
    </rPh>
    <rPh sb="1" eb="2">
      <t>ジュツ</t>
    </rPh>
    <rPh sb="2" eb="3">
      <t>ゴ</t>
    </rPh>
    <phoneticPr fontId="2"/>
  </si>
  <si>
    <t>　平均値グラフ　（ｎ９）</t>
    <rPh sb="1" eb="4">
      <t>ヘイキンチ</t>
    </rPh>
    <phoneticPr fontId="2"/>
  </si>
  <si>
    <t>　施術後グラフ</t>
    <rPh sb="1" eb="2">
      <t>セ</t>
    </rPh>
    <rPh sb="2" eb="3">
      <t>ジュツ</t>
    </rPh>
    <rPh sb="3" eb="4">
      <t>ゴ</t>
    </rPh>
    <phoneticPr fontId="2"/>
  </si>
  <si>
    <t>　施術前グラフ</t>
    <rPh sb="1" eb="2">
      <t>セ</t>
    </rPh>
    <rPh sb="2" eb="3">
      <t>ジュツ</t>
    </rPh>
    <rPh sb="3" eb="4">
      <t>マエ</t>
    </rPh>
    <phoneticPr fontId="2"/>
  </si>
  <si>
    <r>
      <t xml:space="preserve"> 参考：心理調査ＰＯＭＳ 測定表 </t>
    </r>
    <r>
      <rPr>
        <sz val="11"/>
        <color indexed="8"/>
        <rFont val="ＭＳ Ｐゴシック"/>
        <family val="3"/>
        <charset val="128"/>
      </rPr>
      <t>（サウンドヒーリング施術による変化／ｎ９）</t>
    </r>
    <rPh sb="1" eb="3">
      <t>サンコウ</t>
    </rPh>
    <rPh sb="4" eb="6">
      <t>シンリ</t>
    </rPh>
    <rPh sb="6" eb="8">
      <t>チョウサ</t>
    </rPh>
    <rPh sb="13" eb="15">
      <t>ソクテイ</t>
    </rPh>
    <rPh sb="15" eb="16">
      <t>ヒョウ</t>
    </rPh>
    <rPh sb="27" eb="28">
      <t>セ</t>
    </rPh>
    <rPh sb="28" eb="29">
      <t>ジュツ</t>
    </rPh>
    <rPh sb="32" eb="34">
      <t>ヘンカ</t>
    </rPh>
    <phoneticPr fontId="2"/>
  </si>
  <si>
    <r>
      <t xml:space="preserve"> 参考：心理調査ＰＯＭＳ 測定グラフ</t>
    </r>
    <r>
      <rPr>
        <sz val="11"/>
        <color theme="1"/>
        <rFont val="ＭＳ Ｐゴシック"/>
        <family val="3"/>
        <charset val="128"/>
        <scheme val="minor"/>
      </rPr>
      <t xml:space="preserve"> （参考：サウンドヒーリング施術による変化／ｎ９）</t>
    </r>
    <rPh sb="1" eb="3">
      <t>サンコウ</t>
    </rPh>
    <phoneticPr fontId="2"/>
  </si>
  <si>
    <r>
      <t xml:space="preserve"> 参考：心理調査ＰＯＭＳ 施術前グラフ </t>
    </r>
    <r>
      <rPr>
        <sz val="11"/>
        <color indexed="8"/>
        <rFont val="ＭＳ Ｐゴシック"/>
        <family val="3"/>
        <charset val="128"/>
      </rPr>
      <t>（サウンドヒーリング施術による変化／ｎ９）</t>
    </r>
    <rPh sb="1" eb="3">
      <t>サンコウ</t>
    </rPh>
    <rPh sb="4" eb="6">
      <t>シンリ</t>
    </rPh>
    <rPh sb="6" eb="8">
      <t>チョウサ</t>
    </rPh>
    <rPh sb="13" eb="14">
      <t>セ</t>
    </rPh>
    <rPh sb="14" eb="15">
      <t>ジュツ</t>
    </rPh>
    <rPh sb="15" eb="16">
      <t>マエ</t>
    </rPh>
    <rPh sb="30" eb="31">
      <t>セ</t>
    </rPh>
    <rPh sb="31" eb="32">
      <t>ジュツ</t>
    </rPh>
    <rPh sb="35" eb="37">
      <t>ヘンカ</t>
    </rPh>
    <phoneticPr fontId="2"/>
  </si>
  <si>
    <r>
      <t xml:space="preserve"> 参考：心理調査ＰＯＭＳ 施術後グラフ</t>
    </r>
    <r>
      <rPr>
        <sz val="11"/>
        <color theme="1"/>
        <rFont val="ＭＳ Ｐゴシック"/>
        <family val="3"/>
        <charset val="128"/>
        <scheme val="minor"/>
      </rPr>
      <t xml:space="preserve"> （サウンドヒーリング施術による変化／ｎ９）</t>
    </r>
    <rPh sb="1" eb="3">
      <t>サンコウ</t>
    </rPh>
    <rPh sb="13" eb="14">
      <t>セ</t>
    </rPh>
    <rPh sb="14" eb="15">
      <t>ジュツ</t>
    </rPh>
    <rPh sb="15" eb="16">
      <t>ゴ</t>
    </rPh>
    <phoneticPr fontId="2"/>
  </si>
</sst>
</file>

<file path=xl/styles.xml><?xml version="1.0" encoding="utf-8"?>
<styleSheet xmlns="http://schemas.openxmlformats.org/spreadsheetml/2006/main">
  <fonts count="5">
    <font>
      <sz val="11"/>
      <color theme="1"/>
      <name val="ＭＳ Ｐゴシック"/>
      <family val="3"/>
      <charset val="128"/>
      <scheme val="minor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2"/>
      <color indexed="8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76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3" fillId="0" borderId="0" xfId="0" applyFont="1">
      <alignment vertical="center"/>
    </xf>
    <xf numFmtId="0" fontId="0" fillId="0" borderId="1" xfId="0" applyBorder="1" applyAlignment="1">
      <alignment horizontal="left"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1" xfId="0" applyBorder="1">
      <alignment vertical="center"/>
    </xf>
    <xf numFmtId="0" fontId="0" fillId="0" borderId="6" xfId="0" applyBorder="1" applyAlignment="1">
      <alignment horizontal="left" vertical="center"/>
    </xf>
    <xf numFmtId="0" fontId="0" fillId="0" borderId="6" xfId="0" applyBorder="1">
      <alignment vertical="center"/>
    </xf>
    <xf numFmtId="0" fontId="0" fillId="0" borderId="0" xfId="0" applyBorder="1">
      <alignment vertical="center"/>
    </xf>
    <xf numFmtId="0" fontId="0" fillId="0" borderId="3" xfId="0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0" fillId="0" borderId="0" xfId="0" applyFill="1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4" fillId="0" borderId="0" xfId="0" applyFont="1">
      <alignment vertical="center"/>
    </xf>
    <xf numFmtId="0" fontId="0" fillId="0" borderId="0" xfId="0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1" fillId="0" borderId="15" xfId="0" applyFont="1" applyBorder="1">
      <alignment vertical="center"/>
    </xf>
    <xf numFmtId="0" fontId="1" fillId="0" borderId="15" xfId="0" applyFont="1" applyFill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5" xfId="0" applyBorder="1" applyAlignment="1">
      <alignment horizontal="left" vertical="center"/>
    </xf>
    <xf numFmtId="0" fontId="0" fillId="0" borderId="15" xfId="0" applyBorder="1">
      <alignment vertical="center"/>
    </xf>
    <xf numFmtId="0" fontId="3" fillId="0" borderId="15" xfId="0" applyFont="1" applyBorder="1" applyAlignment="1">
      <alignment horizontal="center" vertical="center"/>
    </xf>
    <xf numFmtId="0" fontId="0" fillId="0" borderId="16" xfId="0" applyBorder="1" applyAlignment="1">
      <alignment horizontal="left" vertical="center"/>
    </xf>
    <xf numFmtId="0" fontId="3" fillId="0" borderId="17" xfId="0" applyFont="1" applyBorder="1" applyAlignment="1">
      <alignment horizontal="center" vertical="center"/>
    </xf>
    <xf numFmtId="0" fontId="0" fillId="0" borderId="18" xfId="0" applyBorder="1" applyAlignment="1">
      <alignment horizontal="left" vertical="center"/>
    </xf>
    <xf numFmtId="0" fontId="0" fillId="0" borderId="19" xfId="0" applyBorder="1">
      <alignment vertical="center"/>
    </xf>
    <xf numFmtId="0" fontId="0" fillId="0" borderId="20" xfId="0" applyBorder="1">
      <alignment vertical="center"/>
    </xf>
    <xf numFmtId="0" fontId="0" fillId="0" borderId="21" xfId="0" applyBorder="1">
      <alignment vertical="center"/>
    </xf>
    <xf numFmtId="0" fontId="0" fillId="0" borderId="18" xfId="0" applyBorder="1">
      <alignment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5" xfId="0" applyFill="1" applyBorder="1" applyAlignment="1">
      <alignment horizontal="center" vertical="center"/>
    </xf>
    <xf numFmtId="0" fontId="0" fillId="0" borderId="20" xfId="0" applyBorder="1" applyAlignment="1">
      <alignment horizontal="left" vertical="center"/>
    </xf>
    <xf numFmtId="0" fontId="0" fillId="0" borderId="26" xfId="0" applyBorder="1" applyAlignment="1">
      <alignment horizontal="left" vertical="center"/>
    </xf>
    <xf numFmtId="0" fontId="0" fillId="0" borderId="21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22" xfId="0" applyBorder="1">
      <alignment vertical="center"/>
    </xf>
    <xf numFmtId="0" fontId="3" fillId="0" borderId="21" xfId="0" applyFont="1" applyBorder="1" applyAlignment="1">
      <alignment horizontal="center" vertical="center"/>
    </xf>
    <xf numFmtId="0" fontId="3" fillId="0" borderId="18" xfId="0" applyFont="1" applyBorder="1" applyAlignment="1">
      <alignment horizontal="left" vertical="center"/>
    </xf>
    <xf numFmtId="0" fontId="0" fillId="0" borderId="27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15" xfId="0" applyFont="1" applyBorder="1" applyAlignment="1">
      <alignment horizontal="left" vertical="center"/>
    </xf>
    <xf numFmtId="0" fontId="3" fillId="0" borderId="16" xfId="0" applyFont="1" applyBorder="1" applyAlignment="1">
      <alignment horizontal="left" vertical="center"/>
    </xf>
    <xf numFmtId="0" fontId="0" fillId="0" borderId="15" xfId="0" applyFill="1" applyBorder="1" applyAlignment="1">
      <alignment horizontal="center" vertical="center"/>
    </xf>
    <xf numFmtId="0" fontId="3" fillId="0" borderId="15" xfId="0" applyFont="1" applyBorder="1" applyAlignment="1">
      <alignment horizontal="left" vertical="center"/>
    </xf>
    <xf numFmtId="0" fontId="0" fillId="0" borderId="18" xfId="0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0" fillId="0" borderId="27" xfId="0" applyBorder="1" applyAlignment="1">
      <alignment horizontal="left" vertical="center"/>
    </xf>
    <xf numFmtId="0" fontId="0" fillId="0" borderId="27" xfId="0" applyBorder="1">
      <alignment vertical="center"/>
    </xf>
    <xf numFmtId="0" fontId="0" fillId="0" borderId="16" xfId="0" applyBorder="1" applyAlignment="1">
      <alignment horizontal="center" vertical="center"/>
    </xf>
    <xf numFmtId="0" fontId="0" fillId="0" borderId="16" xfId="0" applyFill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6" xfId="0" applyFill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0" fillId="0" borderId="18" xfId="0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ja-JP"/>
  <c:chart>
    <c:title>
      <c:tx>
        <c:rich>
          <a:bodyPr/>
          <a:lstStyle/>
          <a:p>
            <a:pPr>
              <a:defRPr sz="105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r>
              <a:rPr lang="en-US" altLang="en-US"/>
              <a:t>ＰＯＭＳ </a:t>
            </a:r>
            <a:r>
              <a:rPr lang="ja-JP" altLang="en-US"/>
              <a:t>心理調査 平均値</a:t>
            </a:r>
          </a:p>
        </c:rich>
      </c:tx>
      <c:layout>
        <c:manualLayout>
          <c:xMode val="edge"/>
          <c:yMode val="edge"/>
          <c:x val="0.38530766088753543"/>
          <c:y val="3.6065573770491806E-2"/>
        </c:manualLayout>
      </c:layout>
      <c:spPr>
        <a:noFill/>
        <a:ln w="25400">
          <a:noFill/>
        </a:ln>
      </c:spPr>
    </c:title>
    <c:plotArea>
      <c:layout>
        <c:manualLayout>
          <c:layoutTarget val="inner"/>
          <c:xMode val="edge"/>
          <c:yMode val="edge"/>
          <c:x val="9.707249213971926E-2"/>
          <c:y val="0.13442622950819674"/>
          <c:w val="0.7904474359948569"/>
          <c:h val="0.54754098360655734"/>
        </c:manualLayout>
      </c:layout>
      <c:lineChart>
        <c:grouping val="standard"/>
        <c:ser>
          <c:idx val="0"/>
          <c:order val="0"/>
          <c:tx>
            <c:strRef>
              <c:f>作成用データ!$B$19</c:f>
              <c:strCache>
                <c:ptCount val="1"/>
                <c:pt idx="0">
                  <c:v>前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strRef>
              <c:f>作成用データ!$C$18:$H$18</c:f>
              <c:strCache>
                <c:ptCount val="6"/>
                <c:pt idx="0">
                  <c:v>緊張－不安</c:v>
                </c:pt>
                <c:pt idx="1">
                  <c:v>抑うつー落込み</c:v>
                </c:pt>
                <c:pt idx="2">
                  <c:v>怒り―敵意</c:v>
                </c:pt>
                <c:pt idx="3">
                  <c:v>活気</c:v>
                </c:pt>
                <c:pt idx="4">
                  <c:v>疲労</c:v>
                </c:pt>
                <c:pt idx="5">
                  <c:v>混乱</c:v>
                </c:pt>
              </c:strCache>
            </c:strRef>
          </c:cat>
          <c:val>
            <c:numRef>
              <c:f>作成用データ!$C$19:$H$19</c:f>
              <c:numCache>
                <c:formatCode>General</c:formatCode>
                <c:ptCount val="6"/>
                <c:pt idx="0">
                  <c:v>41.2</c:v>
                </c:pt>
                <c:pt idx="1">
                  <c:v>46.5</c:v>
                </c:pt>
                <c:pt idx="2">
                  <c:v>39.4</c:v>
                </c:pt>
                <c:pt idx="3">
                  <c:v>45.6</c:v>
                </c:pt>
                <c:pt idx="4">
                  <c:v>45.7</c:v>
                </c:pt>
                <c:pt idx="5">
                  <c:v>44.6</c:v>
                </c:pt>
              </c:numCache>
            </c:numRef>
          </c:val>
        </c:ser>
        <c:ser>
          <c:idx val="1"/>
          <c:order val="1"/>
          <c:tx>
            <c:strRef>
              <c:f>作成用データ!$B$20</c:f>
              <c:strCache>
                <c:ptCount val="1"/>
                <c:pt idx="0">
                  <c:v>後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strRef>
              <c:f>作成用データ!$C$18:$H$18</c:f>
              <c:strCache>
                <c:ptCount val="6"/>
                <c:pt idx="0">
                  <c:v>緊張－不安</c:v>
                </c:pt>
                <c:pt idx="1">
                  <c:v>抑うつー落込み</c:v>
                </c:pt>
                <c:pt idx="2">
                  <c:v>怒り―敵意</c:v>
                </c:pt>
                <c:pt idx="3">
                  <c:v>活気</c:v>
                </c:pt>
                <c:pt idx="4">
                  <c:v>疲労</c:v>
                </c:pt>
                <c:pt idx="5">
                  <c:v>混乱</c:v>
                </c:pt>
              </c:strCache>
            </c:strRef>
          </c:cat>
          <c:val>
            <c:numRef>
              <c:f>作成用データ!$C$20:$H$20</c:f>
              <c:numCache>
                <c:formatCode>General</c:formatCode>
                <c:ptCount val="6"/>
                <c:pt idx="0">
                  <c:v>34.6</c:v>
                </c:pt>
                <c:pt idx="1">
                  <c:v>41.3</c:v>
                </c:pt>
                <c:pt idx="2">
                  <c:v>37.299999999999997</c:v>
                </c:pt>
                <c:pt idx="3">
                  <c:v>46.6</c:v>
                </c:pt>
                <c:pt idx="4">
                  <c:v>39.299999999999997</c:v>
                </c:pt>
                <c:pt idx="5">
                  <c:v>39</c:v>
                </c:pt>
              </c:numCache>
            </c:numRef>
          </c:val>
        </c:ser>
        <c:marker val="1"/>
        <c:axId val="21484288"/>
        <c:axId val="21485824"/>
      </c:lineChart>
      <c:catAx>
        <c:axId val="21484288"/>
        <c:scaling>
          <c:orientation val="minMax"/>
        </c:scaling>
        <c:axPos val="b"/>
        <c:numFmt formatCode="General" sourceLinked="1"/>
        <c:majorTickMark val="in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05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21485824"/>
        <c:crosses val="autoZero"/>
        <c:auto val="1"/>
        <c:lblAlgn val="ctr"/>
        <c:lblOffset val="100"/>
        <c:tickLblSkip val="1"/>
        <c:tickMarkSkip val="1"/>
      </c:catAx>
      <c:valAx>
        <c:axId val="21485824"/>
        <c:scaling>
          <c:orientation val="minMax"/>
          <c:max val="60"/>
        </c:scaling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5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r>
                  <a:rPr lang="ja-JP" altLang="en-US"/>
                  <a:t>得点</a:t>
                </a:r>
              </a:p>
            </c:rich>
          </c:tx>
          <c:layout>
            <c:manualLayout>
              <c:xMode val="edge"/>
              <c:yMode val="edge"/>
              <c:x val="2.398796452446526E-2"/>
              <c:y val="0.3737704918032787"/>
            </c:manualLayout>
          </c:layout>
          <c:spPr>
            <a:noFill/>
            <a:ln w="25400">
              <a:noFill/>
            </a:ln>
          </c:spPr>
        </c:title>
        <c:numFmt formatCode="General" sourceLinked="1"/>
        <c:majorTickMark val="in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21484288"/>
        <c:crosses val="autoZero"/>
        <c:crossBetween val="between"/>
        <c:majorUnit val="10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90446906001156635"/>
          <c:y val="0.36393442622950822"/>
          <c:w val="0.98921482272343075"/>
          <c:h val="0.49508196721311476"/>
        </c:manualLayout>
      </c:layout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65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  <a:cs typeface="ＭＳ Ｐゴシック"/>
            </a:defRPr>
          </a:pPr>
          <a:endParaRPr lang="ja-JP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50" b="0" i="0" u="none" strike="noStrike" baseline="0">
          <a:solidFill>
            <a:srgbClr val="000000"/>
          </a:solidFill>
          <a:latin typeface="ＭＳ Ｐゴシック"/>
          <a:ea typeface="ＭＳ Ｐゴシック"/>
          <a:cs typeface="ＭＳ Ｐゴシック"/>
        </a:defRPr>
      </a:pPr>
      <a:endParaRPr lang="ja-JP"/>
    </a:p>
  </c:txPr>
  <c:printSettings>
    <c:headerFooter alignWithMargins="0"/>
    <c:pageMargins b="0.98399999999999999" l="0.78700000000000003" r="0.78700000000000003" t="0.98399999999999999" header="0.51200000000000001" footer="0.51200000000000001"/>
    <c:pageSetup paperSize="9" orientation="landscape" verticalDpi="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ja-JP"/>
  <c:chart>
    <c:title>
      <c:tx>
        <c:rich>
          <a:bodyPr/>
          <a:lstStyle/>
          <a:p>
            <a:pPr>
              <a:defRPr sz="105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r>
              <a:rPr lang="ja-JP" altLang="en-US"/>
              <a:t>心理調査</a:t>
            </a:r>
            <a:r>
              <a:rPr lang="en-US" altLang="en-US"/>
              <a:t>ＰＯＭＳ  （</a:t>
            </a:r>
            <a:r>
              <a:rPr lang="ja-JP" altLang="en-US"/>
              <a:t>施術前）</a:t>
            </a:r>
          </a:p>
        </c:rich>
      </c:tx>
      <c:layout>
        <c:manualLayout>
          <c:xMode val="edge"/>
          <c:yMode val="edge"/>
          <c:x val="0.335740092673601"/>
          <c:y val="4.9295613292638096E-2"/>
        </c:manualLayout>
      </c:layout>
      <c:spPr>
        <a:noFill/>
        <a:ln w="25400">
          <a:noFill/>
        </a:ln>
      </c:spPr>
    </c:title>
    <c:plotArea>
      <c:layout>
        <c:manualLayout>
          <c:layoutTarget val="inner"/>
          <c:xMode val="edge"/>
          <c:yMode val="edge"/>
          <c:x val="9.4135944335853636E-2"/>
          <c:y val="0.14332270352374213"/>
          <c:w val="0.78240858652914391"/>
          <c:h val="0.53420280404303877"/>
        </c:manualLayout>
      </c:layout>
      <c:lineChart>
        <c:grouping val="standard"/>
        <c:ser>
          <c:idx val="0"/>
          <c:order val="0"/>
          <c:tx>
            <c:strRef>
              <c:f>作成用データ!$B$3</c:f>
              <c:strCache>
                <c:ptCount val="1"/>
                <c:pt idx="0">
                  <c:v>Ｗ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strRef>
              <c:f>作成用データ!$C$2:$H$2</c:f>
              <c:strCache>
                <c:ptCount val="6"/>
                <c:pt idx="0">
                  <c:v>緊張－不安</c:v>
                </c:pt>
                <c:pt idx="1">
                  <c:v>抑うつー落込み</c:v>
                </c:pt>
                <c:pt idx="2">
                  <c:v>怒り―敵意</c:v>
                </c:pt>
                <c:pt idx="3">
                  <c:v>活気</c:v>
                </c:pt>
                <c:pt idx="4">
                  <c:v>疲労</c:v>
                </c:pt>
                <c:pt idx="5">
                  <c:v>混乱</c:v>
                </c:pt>
              </c:strCache>
            </c:strRef>
          </c:cat>
          <c:val>
            <c:numRef>
              <c:f>作成用データ!$C$3:$H$3</c:f>
              <c:numCache>
                <c:formatCode>General</c:formatCode>
                <c:ptCount val="6"/>
                <c:pt idx="0">
                  <c:v>48</c:v>
                </c:pt>
                <c:pt idx="1">
                  <c:v>61</c:v>
                </c:pt>
                <c:pt idx="2">
                  <c:v>48</c:v>
                </c:pt>
                <c:pt idx="3">
                  <c:v>32</c:v>
                </c:pt>
                <c:pt idx="4">
                  <c:v>59</c:v>
                </c:pt>
                <c:pt idx="5">
                  <c:v>45</c:v>
                </c:pt>
              </c:numCache>
            </c:numRef>
          </c:val>
        </c:ser>
        <c:ser>
          <c:idx val="1"/>
          <c:order val="1"/>
          <c:tx>
            <c:strRef>
              <c:f>作成用データ!$B$4</c:f>
              <c:strCache>
                <c:ptCount val="1"/>
                <c:pt idx="0">
                  <c:v>Ｓ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strRef>
              <c:f>作成用データ!$C$2:$H$2</c:f>
              <c:strCache>
                <c:ptCount val="6"/>
                <c:pt idx="0">
                  <c:v>緊張－不安</c:v>
                </c:pt>
                <c:pt idx="1">
                  <c:v>抑うつー落込み</c:v>
                </c:pt>
                <c:pt idx="2">
                  <c:v>怒り―敵意</c:v>
                </c:pt>
                <c:pt idx="3">
                  <c:v>活気</c:v>
                </c:pt>
                <c:pt idx="4">
                  <c:v>疲労</c:v>
                </c:pt>
                <c:pt idx="5">
                  <c:v>混乱</c:v>
                </c:pt>
              </c:strCache>
            </c:strRef>
          </c:cat>
          <c:val>
            <c:numRef>
              <c:f>作成用データ!$C$4:$H$4</c:f>
              <c:numCache>
                <c:formatCode>General</c:formatCode>
                <c:ptCount val="6"/>
                <c:pt idx="0">
                  <c:v>36</c:v>
                </c:pt>
                <c:pt idx="1">
                  <c:v>39</c:v>
                </c:pt>
                <c:pt idx="2">
                  <c:v>37</c:v>
                </c:pt>
                <c:pt idx="3">
                  <c:v>39</c:v>
                </c:pt>
                <c:pt idx="4">
                  <c:v>49</c:v>
                </c:pt>
                <c:pt idx="5">
                  <c:v>36</c:v>
                </c:pt>
              </c:numCache>
            </c:numRef>
          </c:val>
        </c:ser>
        <c:ser>
          <c:idx val="2"/>
          <c:order val="2"/>
          <c:tx>
            <c:strRef>
              <c:f>作成用データ!$B$5</c:f>
              <c:strCache>
                <c:ptCount val="1"/>
                <c:pt idx="0">
                  <c:v>Ｎ</c:v>
                </c:pt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strRef>
              <c:f>作成用データ!$C$2:$H$2</c:f>
              <c:strCache>
                <c:ptCount val="6"/>
                <c:pt idx="0">
                  <c:v>緊張－不安</c:v>
                </c:pt>
                <c:pt idx="1">
                  <c:v>抑うつー落込み</c:v>
                </c:pt>
                <c:pt idx="2">
                  <c:v>怒り―敵意</c:v>
                </c:pt>
                <c:pt idx="3">
                  <c:v>活気</c:v>
                </c:pt>
                <c:pt idx="4">
                  <c:v>疲労</c:v>
                </c:pt>
                <c:pt idx="5">
                  <c:v>混乱</c:v>
                </c:pt>
              </c:strCache>
            </c:strRef>
          </c:cat>
          <c:val>
            <c:numRef>
              <c:f>作成用データ!$C$5:$H$5</c:f>
              <c:numCache>
                <c:formatCode>General</c:formatCode>
                <c:ptCount val="6"/>
                <c:pt idx="0">
                  <c:v>34</c:v>
                </c:pt>
                <c:pt idx="1">
                  <c:v>39</c:v>
                </c:pt>
                <c:pt idx="2">
                  <c:v>37</c:v>
                </c:pt>
                <c:pt idx="3">
                  <c:v>62</c:v>
                </c:pt>
                <c:pt idx="4">
                  <c:v>35</c:v>
                </c:pt>
                <c:pt idx="5">
                  <c:v>45</c:v>
                </c:pt>
              </c:numCache>
            </c:numRef>
          </c:val>
        </c:ser>
        <c:ser>
          <c:idx val="3"/>
          <c:order val="3"/>
          <c:tx>
            <c:strRef>
              <c:f>作成用データ!$B$6</c:f>
              <c:strCache>
                <c:ptCount val="1"/>
                <c:pt idx="0">
                  <c:v>Ｔ</c:v>
                </c:pt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strRef>
              <c:f>作成用データ!$C$2:$H$2</c:f>
              <c:strCache>
                <c:ptCount val="6"/>
                <c:pt idx="0">
                  <c:v>緊張－不安</c:v>
                </c:pt>
                <c:pt idx="1">
                  <c:v>抑うつー落込み</c:v>
                </c:pt>
                <c:pt idx="2">
                  <c:v>怒り―敵意</c:v>
                </c:pt>
                <c:pt idx="3">
                  <c:v>活気</c:v>
                </c:pt>
                <c:pt idx="4">
                  <c:v>疲労</c:v>
                </c:pt>
                <c:pt idx="5">
                  <c:v>混乱</c:v>
                </c:pt>
              </c:strCache>
            </c:strRef>
          </c:cat>
          <c:val>
            <c:numRef>
              <c:f>作成用データ!$C$6:$H$6</c:f>
              <c:numCache>
                <c:formatCode>General</c:formatCode>
                <c:ptCount val="6"/>
                <c:pt idx="0">
                  <c:v>55</c:v>
                </c:pt>
                <c:pt idx="1">
                  <c:v>53</c:v>
                </c:pt>
                <c:pt idx="2">
                  <c:v>48</c:v>
                </c:pt>
                <c:pt idx="3">
                  <c:v>35</c:v>
                </c:pt>
                <c:pt idx="4">
                  <c:v>48</c:v>
                </c:pt>
                <c:pt idx="5">
                  <c:v>51</c:v>
                </c:pt>
              </c:numCache>
            </c:numRef>
          </c:val>
        </c:ser>
        <c:ser>
          <c:idx val="4"/>
          <c:order val="4"/>
          <c:tx>
            <c:strRef>
              <c:f>作成用データ!$B$7</c:f>
              <c:strCache>
                <c:ptCount val="1"/>
                <c:pt idx="0">
                  <c:v>Ｋ</c:v>
                </c:pt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strRef>
              <c:f>作成用データ!$C$2:$H$2</c:f>
              <c:strCache>
                <c:ptCount val="6"/>
                <c:pt idx="0">
                  <c:v>緊張－不安</c:v>
                </c:pt>
                <c:pt idx="1">
                  <c:v>抑うつー落込み</c:v>
                </c:pt>
                <c:pt idx="2">
                  <c:v>怒り―敵意</c:v>
                </c:pt>
                <c:pt idx="3">
                  <c:v>活気</c:v>
                </c:pt>
                <c:pt idx="4">
                  <c:v>疲労</c:v>
                </c:pt>
                <c:pt idx="5">
                  <c:v>混乱</c:v>
                </c:pt>
              </c:strCache>
            </c:strRef>
          </c:cat>
          <c:val>
            <c:numRef>
              <c:f>作成用データ!$C$7:$H$7</c:f>
              <c:numCache>
                <c:formatCode>General</c:formatCode>
                <c:ptCount val="6"/>
                <c:pt idx="0">
                  <c:v>39</c:v>
                </c:pt>
                <c:pt idx="1">
                  <c:v>42</c:v>
                </c:pt>
                <c:pt idx="2">
                  <c:v>37</c:v>
                </c:pt>
                <c:pt idx="3">
                  <c:v>51</c:v>
                </c:pt>
                <c:pt idx="4">
                  <c:v>37</c:v>
                </c:pt>
                <c:pt idx="5">
                  <c:v>39</c:v>
                </c:pt>
              </c:numCache>
            </c:numRef>
          </c:val>
        </c:ser>
        <c:ser>
          <c:idx val="5"/>
          <c:order val="5"/>
          <c:tx>
            <c:strRef>
              <c:f>作成用データ!$B$8</c:f>
              <c:strCache>
                <c:ptCount val="1"/>
                <c:pt idx="0">
                  <c:v>Ｍ</c:v>
                </c:pt>
              </c:strCache>
            </c:strRef>
          </c:tx>
          <c:spPr>
            <a:ln w="12700">
              <a:solidFill>
                <a:srgbClr val="8000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cat>
            <c:strRef>
              <c:f>作成用データ!$C$2:$H$2</c:f>
              <c:strCache>
                <c:ptCount val="6"/>
                <c:pt idx="0">
                  <c:v>緊張－不安</c:v>
                </c:pt>
                <c:pt idx="1">
                  <c:v>抑うつー落込み</c:v>
                </c:pt>
                <c:pt idx="2">
                  <c:v>怒り―敵意</c:v>
                </c:pt>
                <c:pt idx="3">
                  <c:v>活気</c:v>
                </c:pt>
                <c:pt idx="4">
                  <c:v>疲労</c:v>
                </c:pt>
                <c:pt idx="5">
                  <c:v>混乱</c:v>
                </c:pt>
              </c:strCache>
            </c:strRef>
          </c:cat>
          <c:val>
            <c:numRef>
              <c:f>作成用データ!$C$8:$H$8</c:f>
              <c:numCache>
                <c:formatCode>General</c:formatCode>
                <c:ptCount val="6"/>
                <c:pt idx="0">
                  <c:v>41</c:v>
                </c:pt>
                <c:pt idx="1">
                  <c:v>44</c:v>
                </c:pt>
                <c:pt idx="2">
                  <c:v>37</c:v>
                </c:pt>
                <c:pt idx="3">
                  <c:v>41</c:v>
                </c:pt>
                <c:pt idx="4">
                  <c:v>45</c:v>
                </c:pt>
                <c:pt idx="5">
                  <c:v>42</c:v>
                </c:pt>
              </c:numCache>
            </c:numRef>
          </c:val>
        </c:ser>
        <c:ser>
          <c:idx val="6"/>
          <c:order val="6"/>
          <c:tx>
            <c:strRef>
              <c:f>作成用データ!$B$9</c:f>
              <c:strCache>
                <c:ptCount val="1"/>
                <c:pt idx="0">
                  <c:v>Ｙ</c:v>
                </c:pt>
              </c:strCache>
            </c:strRef>
          </c:tx>
          <c:spPr>
            <a:ln w="12700">
              <a:solidFill>
                <a:srgbClr val="008080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008080"/>
                </a:solidFill>
                <a:prstDash val="solid"/>
              </a:ln>
            </c:spPr>
          </c:marker>
          <c:cat>
            <c:strRef>
              <c:f>作成用データ!$C$2:$H$2</c:f>
              <c:strCache>
                <c:ptCount val="6"/>
                <c:pt idx="0">
                  <c:v>緊張－不安</c:v>
                </c:pt>
                <c:pt idx="1">
                  <c:v>抑うつー落込み</c:v>
                </c:pt>
                <c:pt idx="2">
                  <c:v>怒り―敵意</c:v>
                </c:pt>
                <c:pt idx="3">
                  <c:v>活気</c:v>
                </c:pt>
                <c:pt idx="4">
                  <c:v>疲労</c:v>
                </c:pt>
                <c:pt idx="5">
                  <c:v>混乱</c:v>
                </c:pt>
              </c:strCache>
            </c:strRef>
          </c:cat>
          <c:val>
            <c:numRef>
              <c:f>作成用データ!$C$9:$H$9</c:f>
              <c:numCache>
                <c:formatCode>General</c:formatCode>
                <c:ptCount val="6"/>
                <c:pt idx="0">
                  <c:v>35</c:v>
                </c:pt>
                <c:pt idx="1">
                  <c:v>50</c:v>
                </c:pt>
                <c:pt idx="2">
                  <c:v>37</c:v>
                </c:pt>
                <c:pt idx="3">
                  <c:v>61</c:v>
                </c:pt>
                <c:pt idx="4">
                  <c:v>44</c:v>
                </c:pt>
                <c:pt idx="5">
                  <c:v>45</c:v>
                </c:pt>
              </c:numCache>
            </c:numRef>
          </c:val>
        </c:ser>
        <c:ser>
          <c:idx val="7"/>
          <c:order val="7"/>
          <c:tx>
            <c:strRef>
              <c:f>作成用データ!$B$10</c:f>
              <c:strCache>
                <c:ptCount val="1"/>
                <c:pt idx="0">
                  <c:v>Ｕ</c:v>
                </c:pt>
              </c:strCache>
            </c:strRef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0000FF"/>
                </a:solidFill>
                <a:prstDash val="solid"/>
              </a:ln>
            </c:spPr>
          </c:marker>
          <c:cat>
            <c:strRef>
              <c:f>作成用データ!$C$2:$H$2</c:f>
              <c:strCache>
                <c:ptCount val="6"/>
                <c:pt idx="0">
                  <c:v>緊張－不安</c:v>
                </c:pt>
                <c:pt idx="1">
                  <c:v>抑うつー落込み</c:v>
                </c:pt>
                <c:pt idx="2">
                  <c:v>怒り―敵意</c:v>
                </c:pt>
                <c:pt idx="3">
                  <c:v>活気</c:v>
                </c:pt>
                <c:pt idx="4">
                  <c:v>疲労</c:v>
                </c:pt>
                <c:pt idx="5">
                  <c:v>混乱</c:v>
                </c:pt>
              </c:strCache>
            </c:strRef>
          </c:cat>
          <c:val>
            <c:numRef>
              <c:f>作成用データ!$C$10:$H$10</c:f>
              <c:numCache>
                <c:formatCode>General</c:formatCode>
                <c:ptCount val="6"/>
                <c:pt idx="0">
                  <c:v>35</c:v>
                </c:pt>
                <c:pt idx="1">
                  <c:v>40</c:v>
                </c:pt>
                <c:pt idx="2">
                  <c:v>37</c:v>
                </c:pt>
                <c:pt idx="3">
                  <c:v>37</c:v>
                </c:pt>
                <c:pt idx="4">
                  <c:v>48</c:v>
                </c:pt>
                <c:pt idx="5">
                  <c:v>48</c:v>
                </c:pt>
              </c:numCache>
            </c:numRef>
          </c:val>
        </c:ser>
        <c:ser>
          <c:idx val="8"/>
          <c:order val="8"/>
          <c:tx>
            <c:strRef>
              <c:f>作成用データ!$B$11</c:f>
              <c:strCache>
                <c:ptCount val="1"/>
                <c:pt idx="0">
                  <c:v>Ｆ</c:v>
                </c:pt>
              </c:strCache>
            </c:strRef>
          </c:tx>
          <c:spPr>
            <a:ln w="12700">
              <a:solidFill>
                <a:srgbClr val="00CCFF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00CCFF"/>
                </a:solidFill>
                <a:prstDash val="solid"/>
              </a:ln>
            </c:spPr>
          </c:marker>
          <c:cat>
            <c:strRef>
              <c:f>作成用データ!$C$2:$H$2</c:f>
              <c:strCache>
                <c:ptCount val="6"/>
                <c:pt idx="0">
                  <c:v>緊張－不安</c:v>
                </c:pt>
                <c:pt idx="1">
                  <c:v>抑うつー落込み</c:v>
                </c:pt>
                <c:pt idx="2">
                  <c:v>怒り―敵意</c:v>
                </c:pt>
                <c:pt idx="3">
                  <c:v>活気</c:v>
                </c:pt>
                <c:pt idx="4">
                  <c:v>疲労</c:v>
                </c:pt>
                <c:pt idx="5">
                  <c:v>混乱</c:v>
                </c:pt>
              </c:strCache>
            </c:strRef>
          </c:cat>
          <c:val>
            <c:numRef>
              <c:f>作成用データ!$C$11:$H$11</c:f>
              <c:numCache>
                <c:formatCode>General</c:formatCode>
                <c:ptCount val="6"/>
                <c:pt idx="0">
                  <c:v>48</c:v>
                </c:pt>
                <c:pt idx="1">
                  <c:v>51</c:v>
                </c:pt>
                <c:pt idx="2">
                  <c:v>37</c:v>
                </c:pt>
                <c:pt idx="3">
                  <c:v>53</c:v>
                </c:pt>
                <c:pt idx="4">
                  <c:v>47</c:v>
                </c:pt>
                <c:pt idx="5">
                  <c:v>51</c:v>
                </c:pt>
              </c:numCache>
            </c:numRef>
          </c:val>
        </c:ser>
        <c:marker val="1"/>
        <c:axId val="50415488"/>
        <c:axId val="50434048"/>
      </c:lineChart>
      <c:catAx>
        <c:axId val="50415488"/>
        <c:scaling>
          <c:orientation val="minMax"/>
        </c:scaling>
        <c:axPos val="b"/>
        <c:numFmt formatCode="General" sourceLinked="1"/>
        <c:majorTickMark val="in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05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50434048"/>
        <c:crosses val="autoZero"/>
        <c:auto val="1"/>
        <c:lblAlgn val="ctr"/>
        <c:lblOffset val="100"/>
        <c:tickLblSkip val="1"/>
        <c:tickMarkSkip val="1"/>
      </c:catAx>
      <c:valAx>
        <c:axId val="50434048"/>
        <c:scaling>
          <c:orientation val="minMax"/>
        </c:scaling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5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r>
                  <a:rPr lang="ja-JP" altLang="en-US"/>
                  <a:t>得点</a:t>
                </a:r>
              </a:p>
            </c:rich>
          </c:tx>
          <c:layout>
            <c:manualLayout>
              <c:xMode val="edge"/>
              <c:yMode val="edge"/>
              <c:x val="2.8880788049641944E-2"/>
              <c:y val="0.36971829661357475"/>
            </c:manualLayout>
          </c:layout>
          <c:spPr>
            <a:noFill/>
            <a:ln w="25400">
              <a:noFill/>
            </a:ln>
          </c:spPr>
        </c:title>
        <c:numFmt formatCode="General" sourceLinked="1"/>
        <c:majorTickMark val="in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5041548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90277907391205725"/>
          <c:y val="0.29315995109731802"/>
          <c:w val="0.98148293963254585"/>
          <c:h val="0.79478929954602573"/>
        </c:manualLayout>
      </c:layout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65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  <a:cs typeface="ＭＳ Ｐゴシック"/>
            </a:defRPr>
          </a:pPr>
          <a:endParaRPr lang="ja-JP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50" b="0" i="0" u="none" strike="noStrike" baseline="0">
          <a:solidFill>
            <a:srgbClr val="000000"/>
          </a:solidFill>
          <a:latin typeface="ＭＳ Ｐゴシック"/>
          <a:ea typeface="ＭＳ Ｐゴシック"/>
          <a:cs typeface="ＭＳ Ｐゴシック"/>
        </a:defRPr>
      </a:pPr>
      <a:endParaRPr lang="ja-JP"/>
    </a:p>
  </c:txPr>
  <c:printSettings>
    <c:headerFooter alignWithMargins="0"/>
    <c:pageMargins b="0.98399999999999999" l="0.78700000000000003" r="0.78700000000000003" t="0.98399999999999999" header="0.51200000000000001" footer="0.512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ja-JP"/>
  <c:chart>
    <c:title>
      <c:tx>
        <c:rich>
          <a:bodyPr/>
          <a:lstStyle/>
          <a:p>
            <a:pPr>
              <a:defRPr sz="105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r>
              <a:rPr lang="ja-JP" altLang="en-US"/>
              <a:t>心理調査</a:t>
            </a:r>
            <a:r>
              <a:rPr lang="en-US" altLang="en-US"/>
              <a:t>ＰＯＭＳ （</a:t>
            </a:r>
            <a:r>
              <a:rPr lang="ja-JP" altLang="en-US"/>
              <a:t>施術後）</a:t>
            </a:r>
          </a:p>
        </c:rich>
      </c:tx>
      <c:layout>
        <c:manualLayout>
          <c:xMode val="edge"/>
          <c:yMode val="edge"/>
          <c:x val="0.33270357409027573"/>
          <c:y val="4.5774622434490771E-2"/>
        </c:manualLayout>
      </c:layout>
      <c:spPr>
        <a:noFill/>
        <a:ln w="25400">
          <a:noFill/>
        </a:ln>
      </c:spPr>
    </c:title>
    <c:plotArea>
      <c:layout>
        <c:manualLayout>
          <c:layoutTarget val="inner"/>
          <c:xMode val="edge"/>
          <c:yMode val="edge"/>
          <c:x val="9.2592732133626537E-2"/>
          <c:y val="0.14098360655737707"/>
          <c:w val="0.78240858652914391"/>
          <c:h val="0.53442622950819674"/>
        </c:manualLayout>
      </c:layout>
      <c:lineChart>
        <c:grouping val="standard"/>
        <c:ser>
          <c:idx val="0"/>
          <c:order val="0"/>
          <c:tx>
            <c:strRef>
              <c:f>作成用データ!$B$25</c:f>
              <c:strCache>
                <c:ptCount val="1"/>
                <c:pt idx="0">
                  <c:v>Ｗ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strRef>
              <c:f>作成用データ!$C$24:$H$24</c:f>
              <c:strCache>
                <c:ptCount val="6"/>
                <c:pt idx="0">
                  <c:v>緊張－不安</c:v>
                </c:pt>
                <c:pt idx="1">
                  <c:v>抑うつー落込み</c:v>
                </c:pt>
                <c:pt idx="2">
                  <c:v>怒り―敵意</c:v>
                </c:pt>
                <c:pt idx="3">
                  <c:v>活気</c:v>
                </c:pt>
                <c:pt idx="4">
                  <c:v>疲労</c:v>
                </c:pt>
                <c:pt idx="5">
                  <c:v>混乱</c:v>
                </c:pt>
              </c:strCache>
            </c:strRef>
          </c:cat>
          <c:val>
            <c:numRef>
              <c:f>作成用データ!$C$25:$H$25</c:f>
              <c:numCache>
                <c:formatCode>General</c:formatCode>
                <c:ptCount val="6"/>
                <c:pt idx="0">
                  <c:v>41</c:v>
                </c:pt>
                <c:pt idx="1">
                  <c:v>49</c:v>
                </c:pt>
                <c:pt idx="2">
                  <c:v>40</c:v>
                </c:pt>
                <c:pt idx="3">
                  <c:v>34</c:v>
                </c:pt>
                <c:pt idx="4">
                  <c:v>49</c:v>
                </c:pt>
                <c:pt idx="5">
                  <c:v>36</c:v>
                </c:pt>
              </c:numCache>
            </c:numRef>
          </c:val>
        </c:ser>
        <c:ser>
          <c:idx val="1"/>
          <c:order val="1"/>
          <c:tx>
            <c:strRef>
              <c:f>作成用データ!$B$26</c:f>
              <c:strCache>
                <c:ptCount val="1"/>
                <c:pt idx="0">
                  <c:v>Ｓ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strRef>
              <c:f>作成用データ!$C$24:$H$24</c:f>
              <c:strCache>
                <c:ptCount val="6"/>
                <c:pt idx="0">
                  <c:v>緊張－不安</c:v>
                </c:pt>
                <c:pt idx="1">
                  <c:v>抑うつー落込み</c:v>
                </c:pt>
                <c:pt idx="2">
                  <c:v>怒り―敵意</c:v>
                </c:pt>
                <c:pt idx="3">
                  <c:v>活気</c:v>
                </c:pt>
                <c:pt idx="4">
                  <c:v>疲労</c:v>
                </c:pt>
                <c:pt idx="5">
                  <c:v>混乱</c:v>
                </c:pt>
              </c:strCache>
            </c:strRef>
          </c:cat>
          <c:val>
            <c:numRef>
              <c:f>作成用データ!$C$26:$H$26</c:f>
              <c:numCache>
                <c:formatCode>General</c:formatCode>
                <c:ptCount val="6"/>
                <c:pt idx="0">
                  <c:v>34</c:v>
                </c:pt>
                <c:pt idx="1">
                  <c:v>39</c:v>
                </c:pt>
                <c:pt idx="2">
                  <c:v>37</c:v>
                </c:pt>
                <c:pt idx="3">
                  <c:v>58</c:v>
                </c:pt>
                <c:pt idx="4">
                  <c:v>35</c:v>
                </c:pt>
                <c:pt idx="5">
                  <c:v>36</c:v>
                </c:pt>
              </c:numCache>
            </c:numRef>
          </c:val>
        </c:ser>
        <c:ser>
          <c:idx val="2"/>
          <c:order val="2"/>
          <c:tx>
            <c:strRef>
              <c:f>作成用データ!$B$27</c:f>
              <c:strCache>
                <c:ptCount val="1"/>
                <c:pt idx="0">
                  <c:v>Ｎ</c:v>
                </c:pt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strRef>
              <c:f>作成用データ!$C$24:$H$24</c:f>
              <c:strCache>
                <c:ptCount val="6"/>
                <c:pt idx="0">
                  <c:v>緊張－不安</c:v>
                </c:pt>
                <c:pt idx="1">
                  <c:v>抑うつー落込み</c:v>
                </c:pt>
                <c:pt idx="2">
                  <c:v>怒り―敵意</c:v>
                </c:pt>
                <c:pt idx="3">
                  <c:v>活気</c:v>
                </c:pt>
                <c:pt idx="4">
                  <c:v>疲労</c:v>
                </c:pt>
                <c:pt idx="5">
                  <c:v>混乱</c:v>
                </c:pt>
              </c:strCache>
            </c:strRef>
          </c:cat>
          <c:val>
            <c:numRef>
              <c:f>作成用データ!$C$27:$H$27</c:f>
              <c:numCache>
                <c:formatCode>General</c:formatCode>
                <c:ptCount val="6"/>
                <c:pt idx="0">
                  <c:v>34</c:v>
                </c:pt>
                <c:pt idx="1">
                  <c:v>39</c:v>
                </c:pt>
                <c:pt idx="2">
                  <c:v>37</c:v>
                </c:pt>
                <c:pt idx="3">
                  <c:v>37</c:v>
                </c:pt>
                <c:pt idx="4">
                  <c:v>45</c:v>
                </c:pt>
                <c:pt idx="5">
                  <c:v>36</c:v>
                </c:pt>
              </c:numCache>
            </c:numRef>
          </c:val>
        </c:ser>
        <c:ser>
          <c:idx val="3"/>
          <c:order val="3"/>
          <c:tx>
            <c:strRef>
              <c:f>作成用データ!$B$28</c:f>
              <c:strCache>
                <c:ptCount val="1"/>
                <c:pt idx="0">
                  <c:v>Ｔ</c:v>
                </c:pt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strRef>
              <c:f>作成用データ!$C$24:$H$24</c:f>
              <c:strCache>
                <c:ptCount val="6"/>
                <c:pt idx="0">
                  <c:v>緊張－不安</c:v>
                </c:pt>
                <c:pt idx="1">
                  <c:v>抑うつー落込み</c:v>
                </c:pt>
                <c:pt idx="2">
                  <c:v>怒り―敵意</c:v>
                </c:pt>
                <c:pt idx="3">
                  <c:v>活気</c:v>
                </c:pt>
                <c:pt idx="4">
                  <c:v>疲労</c:v>
                </c:pt>
                <c:pt idx="5">
                  <c:v>混乱</c:v>
                </c:pt>
              </c:strCache>
            </c:strRef>
          </c:cat>
          <c:val>
            <c:numRef>
              <c:f>作成用データ!$C$28:$H$28</c:f>
              <c:numCache>
                <c:formatCode>General</c:formatCode>
                <c:ptCount val="6"/>
                <c:pt idx="0">
                  <c:v>35</c:v>
                </c:pt>
                <c:pt idx="1">
                  <c:v>40</c:v>
                </c:pt>
                <c:pt idx="2">
                  <c:v>37</c:v>
                </c:pt>
                <c:pt idx="3">
                  <c:v>42</c:v>
                </c:pt>
                <c:pt idx="4">
                  <c:v>40</c:v>
                </c:pt>
                <c:pt idx="5">
                  <c:v>42</c:v>
                </c:pt>
              </c:numCache>
            </c:numRef>
          </c:val>
        </c:ser>
        <c:ser>
          <c:idx val="4"/>
          <c:order val="4"/>
          <c:tx>
            <c:strRef>
              <c:f>作成用データ!$B$29</c:f>
              <c:strCache>
                <c:ptCount val="1"/>
                <c:pt idx="0">
                  <c:v>Ｋ</c:v>
                </c:pt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strRef>
              <c:f>作成用データ!$C$24:$H$24</c:f>
              <c:strCache>
                <c:ptCount val="6"/>
                <c:pt idx="0">
                  <c:v>緊張－不安</c:v>
                </c:pt>
                <c:pt idx="1">
                  <c:v>抑うつー落込み</c:v>
                </c:pt>
                <c:pt idx="2">
                  <c:v>怒り―敵意</c:v>
                </c:pt>
                <c:pt idx="3">
                  <c:v>活気</c:v>
                </c:pt>
                <c:pt idx="4">
                  <c:v>疲労</c:v>
                </c:pt>
                <c:pt idx="5">
                  <c:v>混乱</c:v>
                </c:pt>
              </c:strCache>
            </c:strRef>
          </c:cat>
          <c:val>
            <c:numRef>
              <c:f>作成用データ!$C$29:$H$29</c:f>
              <c:numCache>
                <c:formatCode>General</c:formatCode>
                <c:ptCount val="6"/>
                <c:pt idx="0">
                  <c:v>34</c:v>
                </c:pt>
                <c:pt idx="1">
                  <c:v>39</c:v>
                </c:pt>
                <c:pt idx="2">
                  <c:v>37</c:v>
                </c:pt>
                <c:pt idx="3">
                  <c:v>39</c:v>
                </c:pt>
                <c:pt idx="4">
                  <c:v>33</c:v>
                </c:pt>
                <c:pt idx="5">
                  <c:v>42</c:v>
                </c:pt>
              </c:numCache>
            </c:numRef>
          </c:val>
        </c:ser>
        <c:ser>
          <c:idx val="5"/>
          <c:order val="5"/>
          <c:tx>
            <c:strRef>
              <c:f>作成用データ!$B$30</c:f>
              <c:strCache>
                <c:ptCount val="1"/>
                <c:pt idx="0">
                  <c:v>Ｍ</c:v>
                </c:pt>
              </c:strCache>
            </c:strRef>
          </c:tx>
          <c:spPr>
            <a:ln w="12700">
              <a:solidFill>
                <a:srgbClr val="8000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cat>
            <c:strRef>
              <c:f>作成用データ!$C$24:$H$24</c:f>
              <c:strCache>
                <c:ptCount val="6"/>
                <c:pt idx="0">
                  <c:v>緊張－不安</c:v>
                </c:pt>
                <c:pt idx="1">
                  <c:v>抑うつー落込み</c:v>
                </c:pt>
                <c:pt idx="2">
                  <c:v>怒り―敵意</c:v>
                </c:pt>
                <c:pt idx="3">
                  <c:v>活気</c:v>
                </c:pt>
                <c:pt idx="4">
                  <c:v>疲労</c:v>
                </c:pt>
                <c:pt idx="5">
                  <c:v>混乱</c:v>
                </c:pt>
              </c:strCache>
            </c:strRef>
          </c:cat>
          <c:val>
            <c:numRef>
              <c:f>作成用データ!$C$30:$H$30</c:f>
              <c:numCache>
                <c:formatCode>General</c:formatCode>
                <c:ptCount val="6"/>
                <c:pt idx="0">
                  <c:v>34</c:v>
                </c:pt>
                <c:pt idx="1">
                  <c:v>42</c:v>
                </c:pt>
                <c:pt idx="2">
                  <c:v>37</c:v>
                </c:pt>
                <c:pt idx="3">
                  <c:v>44</c:v>
                </c:pt>
                <c:pt idx="4">
                  <c:v>39</c:v>
                </c:pt>
                <c:pt idx="5">
                  <c:v>36</c:v>
                </c:pt>
              </c:numCache>
            </c:numRef>
          </c:val>
        </c:ser>
        <c:ser>
          <c:idx val="6"/>
          <c:order val="6"/>
          <c:tx>
            <c:strRef>
              <c:f>作成用データ!$B$31</c:f>
              <c:strCache>
                <c:ptCount val="1"/>
                <c:pt idx="0">
                  <c:v>Ｙ</c:v>
                </c:pt>
              </c:strCache>
            </c:strRef>
          </c:tx>
          <c:spPr>
            <a:ln w="12700">
              <a:solidFill>
                <a:srgbClr val="008080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008080"/>
                </a:solidFill>
                <a:prstDash val="solid"/>
              </a:ln>
            </c:spPr>
          </c:marker>
          <c:cat>
            <c:strRef>
              <c:f>作成用データ!$C$24:$H$24</c:f>
              <c:strCache>
                <c:ptCount val="6"/>
                <c:pt idx="0">
                  <c:v>緊張－不安</c:v>
                </c:pt>
                <c:pt idx="1">
                  <c:v>抑うつー落込み</c:v>
                </c:pt>
                <c:pt idx="2">
                  <c:v>怒り―敵意</c:v>
                </c:pt>
                <c:pt idx="3">
                  <c:v>活気</c:v>
                </c:pt>
                <c:pt idx="4">
                  <c:v>疲労</c:v>
                </c:pt>
                <c:pt idx="5">
                  <c:v>混乱</c:v>
                </c:pt>
              </c:strCache>
            </c:strRef>
          </c:cat>
          <c:val>
            <c:numRef>
              <c:f>作成用データ!$C$31:$H$31</c:f>
              <c:numCache>
                <c:formatCode>General</c:formatCode>
                <c:ptCount val="6"/>
                <c:pt idx="0">
                  <c:v>33</c:v>
                </c:pt>
                <c:pt idx="1">
                  <c:v>45</c:v>
                </c:pt>
                <c:pt idx="2">
                  <c:v>37</c:v>
                </c:pt>
                <c:pt idx="3">
                  <c:v>66</c:v>
                </c:pt>
                <c:pt idx="4">
                  <c:v>40</c:v>
                </c:pt>
                <c:pt idx="5">
                  <c:v>39</c:v>
                </c:pt>
              </c:numCache>
            </c:numRef>
          </c:val>
        </c:ser>
        <c:ser>
          <c:idx val="7"/>
          <c:order val="7"/>
          <c:tx>
            <c:strRef>
              <c:f>作成用データ!$B$32</c:f>
              <c:strCache>
                <c:ptCount val="1"/>
                <c:pt idx="0">
                  <c:v>Ｕ</c:v>
                </c:pt>
              </c:strCache>
            </c:strRef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0000FF"/>
                </a:solidFill>
                <a:prstDash val="solid"/>
              </a:ln>
            </c:spPr>
          </c:marker>
          <c:cat>
            <c:strRef>
              <c:f>作成用データ!$C$24:$H$24</c:f>
              <c:strCache>
                <c:ptCount val="6"/>
                <c:pt idx="0">
                  <c:v>緊張－不安</c:v>
                </c:pt>
                <c:pt idx="1">
                  <c:v>抑うつー落込み</c:v>
                </c:pt>
                <c:pt idx="2">
                  <c:v>怒り―敵意</c:v>
                </c:pt>
                <c:pt idx="3">
                  <c:v>活気</c:v>
                </c:pt>
                <c:pt idx="4">
                  <c:v>疲労</c:v>
                </c:pt>
                <c:pt idx="5">
                  <c:v>混乱</c:v>
                </c:pt>
              </c:strCache>
            </c:strRef>
          </c:cat>
          <c:val>
            <c:numRef>
              <c:f>作成用データ!$C$32:$H$32</c:f>
              <c:numCache>
                <c:formatCode>General</c:formatCode>
                <c:ptCount val="6"/>
                <c:pt idx="0">
                  <c:v>33</c:v>
                </c:pt>
                <c:pt idx="1">
                  <c:v>40</c:v>
                </c:pt>
                <c:pt idx="2">
                  <c:v>37</c:v>
                </c:pt>
                <c:pt idx="3">
                  <c:v>42</c:v>
                </c:pt>
                <c:pt idx="4">
                  <c:v>36</c:v>
                </c:pt>
                <c:pt idx="5">
                  <c:v>42</c:v>
                </c:pt>
              </c:numCache>
            </c:numRef>
          </c:val>
        </c:ser>
        <c:ser>
          <c:idx val="8"/>
          <c:order val="8"/>
          <c:tx>
            <c:strRef>
              <c:f>作成用データ!$B$33</c:f>
              <c:strCache>
                <c:ptCount val="1"/>
                <c:pt idx="0">
                  <c:v>Ｆ</c:v>
                </c:pt>
              </c:strCache>
            </c:strRef>
          </c:tx>
          <c:spPr>
            <a:ln w="12700">
              <a:solidFill>
                <a:srgbClr val="00CCFF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00CCFF"/>
                </a:solidFill>
                <a:prstDash val="solid"/>
              </a:ln>
            </c:spPr>
          </c:marker>
          <c:cat>
            <c:strRef>
              <c:f>作成用データ!$C$24:$H$24</c:f>
              <c:strCache>
                <c:ptCount val="6"/>
                <c:pt idx="0">
                  <c:v>緊張－不安</c:v>
                </c:pt>
                <c:pt idx="1">
                  <c:v>抑うつー落込み</c:v>
                </c:pt>
                <c:pt idx="2">
                  <c:v>怒り―敵意</c:v>
                </c:pt>
                <c:pt idx="3">
                  <c:v>活気</c:v>
                </c:pt>
                <c:pt idx="4">
                  <c:v>疲労</c:v>
                </c:pt>
                <c:pt idx="5">
                  <c:v>混乱</c:v>
                </c:pt>
              </c:strCache>
            </c:strRef>
          </c:cat>
          <c:val>
            <c:numRef>
              <c:f>作成用データ!$C$33:$H$33</c:f>
              <c:numCache>
                <c:formatCode>General</c:formatCode>
                <c:ptCount val="6"/>
                <c:pt idx="0">
                  <c:v>34</c:v>
                </c:pt>
                <c:pt idx="1">
                  <c:v>39</c:v>
                </c:pt>
                <c:pt idx="2">
                  <c:v>37</c:v>
                </c:pt>
                <c:pt idx="3">
                  <c:v>58</c:v>
                </c:pt>
                <c:pt idx="4">
                  <c:v>37</c:v>
                </c:pt>
                <c:pt idx="5">
                  <c:v>42</c:v>
                </c:pt>
              </c:numCache>
            </c:numRef>
          </c:val>
        </c:ser>
        <c:marker val="1"/>
        <c:axId val="50702208"/>
        <c:axId val="50720768"/>
      </c:lineChart>
      <c:catAx>
        <c:axId val="50702208"/>
        <c:scaling>
          <c:orientation val="minMax"/>
        </c:scaling>
        <c:axPos val="b"/>
        <c:numFmt formatCode="General" sourceLinked="1"/>
        <c:majorTickMark val="in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05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50720768"/>
        <c:crosses val="autoZero"/>
        <c:auto val="1"/>
        <c:lblAlgn val="ctr"/>
        <c:lblOffset val="100"/>
        <c:tickLblSkip val="1"/>
        <c:tickMarkSkip val="1"/>
      </c:catAx>
      <c:valAx>
        <c:axId val="50720768"/>
        <c:scaling>
          <c:orientation val="minMax"/>
        </c:scaling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5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r>
                  <a:rPr lang="ja-JP" altLang="en-US"/>
                  <a:t>得点</a:t>
                </a:r>
              </a:p>
            </c:rich>
          </c:tx>
          <c:layout>
            <c:manualLayout>
              <c:xMode val="edge"/>
              <c:yMode val="edge"/>
              <c:x val="2.8355367616085026E-2"/>
              <c:y val="0.36971834258422615"/>
            </c:manualLayout>
          </c:layout>
          <c:spPr>
            <a:noFill/>
            <a:ln w="25400">
              <a:noFill/>
            </a:ln>
          </c:spPr>
        </c:title>
        <c:numFmt formatCode="General" sourceLinked="1"/>
        <c:majorTickMark val="in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5070220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90277907391205725"/>
          <c:y val="0.31803278688524589"/>
          <c:w val="0.97839651987945941"/>
          <c:h val="0.79344262295081969"/>
        </c:manualLayout>
      </c:layout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65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  <a:cs typeface="ＭＳ Ｐゴシック"/>
            </a:defRPr>
          </a:pPr>
          <a:endParaRPr lang="ja-JP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50" b="0" i="0" u="none" strike="noStrike" baseline="0">
          <a:solidFill>
            <a:srgbClr val="000000"/>
          </a:solidFill>
          <a:latin typeface="ＭＳ Ｐゴシック"/>
          <a:ea typeface="ＭＳ Ｐゴシック"/>
          <a:cs typeface="ＭＳ Ｐゴシック"/>
        </a:defRPr>
      </a:pPr>
      <a:endParaRPr lang="ja-JP"/>
    </a:p>
  </c:txPr>
  <c:printSettings>
    <c:headerFooter alignWithMargins="0"/>
    <c:pageMargins b="0.98399999999999999" l="0.78700000000000003" r="0.78700000000000003" t="0.98399999999999999" header="0.51200000000000001" footer="0.51200000000000001"/>
    <c:pageSetup paperSize="9" orientation="landscape" verticalDpi="0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ja-JP"/>
  <c:chart>
    <c:title>
      <c:tx>
        <c:rich>
          <a:bodyPr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r>
              <a:rPr lang="ja-JP" altLang="en-US"/>
              <a:t>心理調査</a:t>
            </a:r>
            <a:r>
              <a:rPr lang="en-US" altLang="en-US"/>
              <a:t>ＰＯＭＳ  （</a:t>
            </a:r>
            <a:r>
              <a:rPr lang="ja-JP" altLang="en-US"/>
              <a:t>施術前）</a:t>
            </a:r>
          </a:p>
        </c:rich>
      </c:tx>
      <c:layout>
        <c:manualLayout>
          <c:xMode val="edge"/>
          <c:yMode val="edge"/>
          <c:x val="0.33574007220216606"/>
          <c:y val="4.9295774647887321E-2"/>
        </c:manualLayout>
      </c:layout>
      <c:spPr>
        <a:noFill/>
        <a:ln w="25400">
          <a:noFill/>
        </a:ln>
      </c:spPr>
    </c:title>
    <c:plotArea>
      <c:layout>
        <c:manualLayout>
          <c:layoutTarget val="inner"/>
          <c:xMode val="edge"/>
          <c:yMode val="edge"/>
          <c:x val="0.10649819494584839"/>
          <c:y val="0.15140845070422551"/>
          <c:w val="0.76714801444043401"/>
          <c:h val="0.53873239436619713"/>
        </c:manualLayout>
      </c:layout>
      <c:lineChart>
        <c:grouping val="standard"/>
        <c:ser>
          <c:idx val="0"/>
          <c:order val="0"/>
          <c:tx>
            <c:strRef>
              <c:f>作成用データ!$B$3</c:f>
              <c:strCache>
                <c:ptCount val="1"/>
                <c:pt idx="0">
                  <c:v>Ｗ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strRef>
              <c:f>作成用データ!$C$2:$H$2</c:f>
              <c:strCache>
                <c:ptCount val="6"/>
                <c:pt idx="0">
                  <c:v>緊張－不安</c:v>
                </c:pt>
                <c:pt idx="1">
                  <c:v>抑うつー落込み</c:v>
                </c:pt>
                <c:pt idx="2">
                  <c:v>怒り―敵意</c:v>
                </c:pt>
                <c:pt idx="3">
                  <c:v>活気</c:v>
                </c:pt>
                <c:pt idx="4">
                  <c:v>疲労</c:v>
                </c:pt>
                <c:pt idx="5">
                  <c:v>混乱</c:v>
                </c:pt>
              </c:strCache>
            </c:strRef>
          </c:cat>
          <c:val>
            <c:numRef>
              <c:f>作成用データ!$C$3:$H$3</c:f>
              <c:numCache>
                <c:formatCode>General</c:formatCode>
                <c:ptCount val="6"/>
                <c:pt idx="0">
                  <c:v>48</c:v>
                </c:pt>
                <c:pt idx="1">
                  <c:v>61</c:v>
                </c:pt>
                <c:pt idx="2">
                  <c:v>48</c:v>
                </c:pt>
                <c:pt idx="3">
                  <c:v>32</c:v>
                </c:pt>
                <c:pt idx="4">
                  <c:v>59</c:v>
                </c:pt>
                <c:pt idx="5">
                  <c:v>45</c:v>
                </c:pt>
              </c:numCache>
            </c:numRef>
          </c:val>
        </c:ser>
        <c:ser>
          <c:idx val="1"/>
          <c:order val="1"/>
          <c:tx>
            <c:strRef>
              <c:f>作成用データ!$B$4</c:f>
              <c:strCache>
                <c:ptCount val="1"/>
                <c:pt idx="0">
                  <c:v>Ｓ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strRef>
              <c:f>作成用データ!$C$2:$H$2</c:f>
              <c:strCache>
                <c:ptCount val="6"/>
                <c:pt idx="0">
                  <c:v>緊張－不安</c:v>
                </c:pt>
                <c:pt idx="1">
                  <c:v>抑うつー落込み</c:v>
                </c:pt>
                <c:pt idx="2">
                  <c:v>怒り―敵意</c:v>
                </c:pt>
                <c:pt idx="3">
                  <c:v>活気</c:v>
                </c:pt>
                <c:pt idx="4">
                  <c:v>疲労</c:v>
                </c:pt>
                <c:pt idx="5">
                  <c:v>混乱</c:v>
                </c:pt>
              </c:strCache>
            </c:strRef>
          </c:cat>
          <c:val>
            <c:numRef>
              <c:f>作成用データ!$C$4:$H$4</c:f>
              <c:numCache>
                <c:formatCode>General</c:formatCode>
                <c:ptCount val="6"/>
                <c:pt idx="0">
                  <c:v>36</c:v>
                </c:pt>
                <c:pt idx="1">
                  <c:v>39</c:v>
                </c:pt>
                <c:pt idx="2">
                  <c:v>37</c:v>
                </c:pt>
                <c:pt idx="3">
                  <c:v>39</c:v>
                </c:pt>
                <c:pt idx="4">
                  <c:v>49</c:v>
                </c:pt>
                <c:pt idx="5">
                  <c:v>36</c:v>
                </c:pt>
              </c:numCache>
            </c:numRef>
          </c:val>
        </c:ser>
        <c:ser>
          <c:idx val="2"/>
          <c:order val="2"/>
          <c:tx>
            <c:strRef>
              <c:f>作成用データ!$B$5</c:f>
              <c:strCache>
                <c:ptCount val="1"/>
                <c:pt idx="0">
                  <c:v>Ｎ</c:v>
                </c:pt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strRef>
              <c:f>作成用データ!$C$2:$H$2</c:f>
              <c:strCache>
                <c:ptCount val="6"/>
                <c:pt idx="0">
                  <c:v>緊張－不安</c:v>
                </c:pt>
                <c:pt idx="1">
                  <c:v>抑うつー落込み</c:v>
                </c:pt>
                <c:pt idx="2">
                  <c:v>怒り―敵意</c:v>
                </c:pt>
                <c:pt idx="3">
                  <c:v>活気</c:v>
                </c:pt>
                <c:pt idx="4">
                  <c:v>疲労</c:v>
                </c:pt>
                <c:pt idx="5">
                  <c:v>混乱</c:v>
                </c:pt>
              </c:strCache>
            </c:strRef>
          </c:cat>
          <c:val>
            <c:numRef>
              <c:f>作成用データ!$C$5:$H$5</c:f>
              <c:numCache>
                <c:formatCode>General</c:formatCode>
                <c:ptCount val="6"/>
                <c:pt idx="0">
                  <c:v>34</c:v>
                </c:pt>
                <c:pt idx="1">
                  <c:v>39</c:v>
                </c:pt>
                <c:pt idx="2">
                  <c:v>37</c:v>
                </c:pt>
                <c:pt idx="3">
                  <c:v>62</c:v>
                </c:pt>
                <c:pt idx="4">
                  <c:v>35</c:v>
                </c:pt>
                <c:pt idx="5">
                  <c:v>45</c:v>
                </c:pt>
              </c:numCache>
            </c:numRef>
          </c:val>
        </c:ser>
        <c:ser>
          <c:idx val="3"/>
          <c:order val="3"/>
          <c:tx>
            <c:strRef>
              <c:f>作成用データ!$B$6</c:f>
              <c:strCache>
                <c:ptCount val="1"/>
                <c:pt idx="0">
                  <c:v>Ｔ</c:v>
                </c:pt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strRef>
              <c:f>作成用データ!$C$2:$H$2</c:f>
              <c:strCache>
                <c:ptCount val="6"/>
                <c:pt idx="0">
                  <c:v>緊張－不安</c:v>
                </c:pt>
                <c:pt idx="1">
                  <c:v>抑うつー落込み</c:v>
                </c:pt>
                <c:pt idx="2">
                  <c:v>怒り―敵意</c:v>
                </c:pt>
                <c:pt idx="3">
                  <c:v>活気</c:v>
                </c:pt>
                <c:pt idx="4">
                  <c:v>疲労</c:v>
                </c:pt>
                <c:pt idx="5">
                  <c:v>混乱</c:v>
                </c:pt>
              </c:strCache>
            </c:strRef>
          </c:cat>
          <c:val>
            <c:numRef>
              <c:f>作成用データ!$C$6:$H$6</c:f>
              <c:numCache>
                <c:formatCode>General</c:formatCode>
                <c:ptCount val="6"/>
                <c:pt idx="0">
                  <c:v>55</c:v>
                </c:pt>
                <c:pt idx="1">
                  <c:v>53</c:v>
                </c:pt>
                <c:pt idx="2">
                  <c:v>48</c:v>
                </c:pt>
                <c:pt idx="3">
                  <c:v>35</c:v>
                </c:pt>
                <c:pt idx="4">
                  <c:v>48</c:v>
                </c:pt>
                <c:pt idx="5">
                  <c:v>51</c:v>
                </c:pt>
              </c:numCache>
            </c:numRef>
          </c:val>
        </c:ser>
        <c:ser>
          <c:idx val="4"/>
          <c:order val="4"/>
          <c:tx>
            <c:strRef>
              <c:f>作成用データ!$B$7</c:f>
              <c:strCache>
                <c:ptCount val="1"/>
                <c:pt idx="0">
                  <c:v>Ｋ</c:v>
                </c:pt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strRef>
              <c:f>作成用データ!$C$2:$H$2</c:f>
              <c:strCache>
                <c:ptCount val="6"/>
                <c:pt idx="0">
                  <c:v>緊張－不安</c:v>
                </c:pt>
                <c:pt idx="1">
                  <c:v>抑うつー落込み</c:v>
                </c:pt>
                <c:pt idx="2">
                  <c:v>怒り―敵意</c:v>
                </c:pt>
                <c:pt idx="3">
                  <c:v>活気</c:v>
                </c:pt>
                <c:pt idx="4">
                  <c:v>疲労</c:v>
                </c:pt>
                <c:pt idx="5">
                  <c:v>混乱</c:v>
                </c:pt>
              </c:strCache>
            </c:strRef>
          </c:cat>
          <c:val>
            <c:numRef>
              <c:f>作成用データ!$C$7:$H$7</c:f>
              <c:numCache>
                <c:formatCode>General</c:formatCode>
                <c:ptCount val="6"/>
                <c:pt idx="0">
                  <c:v>39</c:v>
                </c:pt>
                <c:pt idx="1">
                  <c:v>42</c:v>
                </c:pt>
                <c:pt idx="2">
                  <c:v>37</c:v>
                </c:pt>
                <c:pt idx="3">
                  <c:v>51</c:v>
                </c:pt>
                <c:pt idx="4">
                  <c:v>37</c:v>
                </c:pt>
                <c:pt idx="5">
                  <c:v>39</c:v>
                </c:pt>
              </c:numCache>
            </c:numRef>
          </c:val>
        </c:ser>
        <c:ser>
          <c:idx val="5"/>
          <c:order val="5"/>
          <c:tx>
            <c:strRef>
              <c:f>作成用データ!$B$8</c:f>
              <c:strCache>
                <c:ptCount val="1"/>
                <c:pt idx="0">
                  <c:v>Ｍ</c:v>
                </c:pt>
              </c:strCache>
            </c:strRef>
          </c:tx>
          <c:spPr>
            <a:ln w="12700">
              <a:solidFill>
                <a:srgbClr val="8000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cat>
            <c:strRef>
              <c:f>作成用データ!$C$2:$H$2</c:f>
              <c:strCache>
                <c:ptCount val="6"/>
                <c:pt idx="0">
                  <c:v>緊張－不安</c:v>
                </c:pt>
                <c:pt idx="1">
                  <c:v>抑うつー落込み</c:v>
                </c:pt>
                <c:pt idx="2">
                  <c:v>怒り―敵意</c:v>
                </c:pt>
                <c:pt idx="3">
                  <c:v>活気</c:v>
                </c:pt>
                <c:pt idx="4">
                  <c:v>疲労</c:v>
                </c:pt>
                <c:pt idx="5">
                  <c:v>混乱</c:v>
                </c:pt>
              </c:strCache>
            </c:strRef>
          </c:cat>
          <c:val>
            <c:numRef>
              <c:f>作成用データ!$C$8:$H$8</c:f>
              <c:numCache>
                <c:formatCode>General</c:formatCode>
                <c:ptCount val="6"/>
                <c:pt idx="0">
                  <c:v>41</c:v>
                </c:pt>
                <c:pt idx="1">
                  <c:v>44</c:v>
                </c:pt>
                <c:pt idx="2">
                  <c:v>37</c:v>
                </c:pt>
                <c:pt idx="3">
                  <c:v>41</c:v>
                </c:pt>
                <c:pt idx="4">
                  <c:v>45</c:v>
                </c:pt>
                <c:pt idx="5">
                  <c:v>42</c:v>
                </c:pt>
              </c:numCache>
            </c:numRef>
          </c:val>
        </c:ser>
        <c:ser>
          <c:idx val="6"/>
          <c:order val="6"/>
          <c:tx>
            <c:strRef>
              <c:f>作成用データ!$B$9</c:f>
              <c:strCache>
                <c:ptCount val="1"/>
                <c:pt idx="0">
                  <c:v>Ｙ</c:v>
                </c:pt>
              </c:strCache>
            </c:strRef>
          </c:tx>
          <c:spPr>
            <a:ln w="12700">
              <a:solidFill>
                <a:srgbClr val="008080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008080"/>
                </a:solidFill>
                <a:prstDash val="solid"/>
              </a:ln>
            </c:spPr>
          </c:marker>
          <c:cat>
            <c:strRef>
              <c:f>作成用データ!$C$2:$H$2</c:f>
              <c:strCache>
                <c:ptCount val="6"/>
                <c:pt idx="0">
                  <c:v>緊張－不安</c:v>
                </c:pt>
                <c:pt idx="1">
                  <c:v>抑うつー落込み</c:v>
                </c:pt>
                <c:pt idx="2">
                  <c:v>怒り―敵意</c:v>
                </c:pt>
                <c:pt idx="3">
                  <c:v>活気</c:v>
                </c:pt>
                <c:pt idx="4">
                  <c:v>疲労</c:v>
                </c:pt>
                <c:pt idx="5">
                  <c:v>混乱</c:v>
                </c:pt>
              </c:strCache>
            </c:strRef>
          </c:cat>
          <c:val>
            <c:numRef>
              <c:f>作成用データ!$C$9:$H$9</c:f>
              <c:numCache>
                <c:formatCode>General</c:formatCode>
                <c:ptCount val="6"/>
                <c:pt idx="0">
                  <c:v>35</c:v>
                </c:pt>
                <c:pt idx="1">
                  <c:v>50</c:v>
                </c:pt>
                <c:pt idx="2">
                  <c:v>37</c:v>
                </c:pt>
                <c:pt idx="3">
                  <c:v>61</c:v>
                </c:pt>
                <c:pt idx="4">
                  <c:v>44</c:v>
                </c:pt>
                <c:pt idx="5">
                  <c:v>45</c:v>
                </c:pt>
              </c:numCache>
            </c:numRef>
          </c:val>
        </c:ser>
        <c:ser>
          <c:idx val="7"/>
          <c:order val="7"/>
          <c:tx>
            <c:strRef>
              <c:f>作成用データ!$B$10</c:f>
              <c:strCache>
                <c:ptCount val="1"/>
                <c:pt idx="0">
                  <c:v>Ｕ</c:v>
                </c:pt>
              </c:strCache>
            </c:strRef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0000FF"/>
                </a:solidFill>
                <a:prstDash val="solid"/>
              </a:ln>
            </c:spPr>
          </c:marker>
          <c:cat>
            <c:strRef>
              <c:f>作成用データ!$C$2:$H$2</c:f>
              <c:strCache>
                <c:ptCount val="6"/>
                <c:pt idx="0">
                  <c:v>緊張－不安</c:v>
                </c:pt>
                <c:pt idx="1">
                  <c:v>抑うつー落込み</c:v>
                </c:pt>
                <c:pt idx="2">
                  <c:v>怒り―敵意</c:v>
                </c:pt>
                <c:pt idx="3">
                  <c:v>活気</c:v>
                </c:pt>
                <c:pt idx="4">
                  <c:v>疲労</c:v>
                </c:pt>
                <c:pt idx="5">
                  <c:v>混乱</c:v>
                </c:pt>
              </c:strCache>
            </c:strRef>
          </c:cat>
          <c:val>
            <c:numRef>
              <c:f>作成用データ!$C$10:$H$10</c:f>
              <c:numCache>
                <c:formatCode>General</c:formatCode>
                <c:ptCount val="6"/>
                <c:pt idx="0">
                  <c:v>35</c:v>
                </c:pt>
                <c:pt idx="1">
                  <c:v>40</c:v>
                </c:pt>
                <c:pt idx="2">
                  <c:v>37</c:v>
                </c:pt>
                <c:pt idx="3">
                  <c:v>37</c:v>
                </c:pt>
                <c:pt idx="4">
                  <c:v>48</c:v>
                </c:pt>
                <c:pt idx="5">
                  <c:v>48</c:v>
                </c:pt>
              </c:numCache>
            </c:numRef>
          </c:val>
        </c:ser>
        <c:ser>
          <c:idx val="8"/>
          <c:order val="8"/>
          <c:tx>
            <c:strRef>
              <c:f>作成用データ!$B$11</c:f>
              <c:strCache>
                <c:ptCount val="1"/>
                <c:pt idx="0">
                  <c:v>Ｆ</c:v>
                </c:pt>
              </c:strCache>
            </c:strRef>
          </c:tx>
          <c:spPr>
            <a:ln w="12700">
              <a:solidFill>
                <a:srgbClr val="00CCFF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00CCFF"/>
                </a:solidFill>
                <a:prstDash val="solid"/>
              </a:ln>
            </c:spPr>
          </c:marker>
          <c:cat>
            <c:strRef>
              <c:f>作成用データ!$C$2:$H$2</c:f>
              <c:strCache>
                <c:ptCount val="6"/>
                <c:pt idx="0">
                  <c:v>緊張－不安</c:v>
                </c:pt>
                <c:pt idx="1">
                  <c:v>抑うつー落込み</c:v>
                </c:pt>
                <c:pt idx="2">
                  <c:v>怒り―敵意</c:v>
                </c:pt>
                <c:pt idx="3">
                  <c:v>活気</c:v>
                </c:pt>
                <c:pt idx="4">
                  <c:v>疲労</c:v>
                </c:pt>
                <c:pt idx="5">
                  <c:v>混乱</c:v>
                </c:pt>
              </c:strCache>
            </c:strRef>
          </c:cat>
          <c:val>
            <c:numRef>
              <c:f>作成用データ!$C$11:$H$11</c:f>
              <c:numCache>
                <c:formatCode>General</c:formatCode>
                <c:ptCount val="6"/>
                <c:pt idx="0">
                  <c:v>48</c:v>
                </c:pt>
                <c:pt idx="1">
                  <c:v>51</c:v>
                </c:pt>
                <c:pt idx="2">
                  <c:v>37</c:v>
                </c:pt>
                <c:pt idx="3">
                  <c:v>53</c:v>
                </c:pt>
                <c:pt idx="4">
                  <c:v>47</c:v>
                </c:pt>
                <c:pt idx="5">
                  <c:v>51</c:v>
                </c:pt>
              </c:numCache>
            </c:numRef>
          </c:val>
        </c:ser>
        <c:marker val="1"/>
        <c:axId val="53008256"/>
        <c:axId val="39985152"/>
      </c:lineChart>
      <c:catAx>
        <c:axId val="53008256"/>
        <c:scaling>
          <c:orientation val="minMax"/>
        </c:scaling>
        <c:axPos val="b"/>
        <c:numFmt formatCode="General" sourceLinked="1"/>
        <c:majorTickMark val="in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39985152"/>
        <c:crosses val="autoZero"/>
        <c:auto val="1"/>
        <c:lblAlgn val="ctr"/>
        <c:lblOffset val="100"/>
        <c:tickLblSkip val="1"/>
        <c:tickMarkSkip val="1"/>
      </c:catAx>
      <c:valAx>
        <c:axId val="39985152"/>
        <c:scaling>
          <c:orientation val="minMax"/>
        </c:scaling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r>
                  <a:rPr lang="ja-JP" altLang="en-US"/>
                  <a:t>得点</a:t>
                </a:r>
              </a:p>
            </c:rich>
          </c:tx>
          <c:layout>
            <c:manualLayout>
              <c:xMode val="edge"/>
              <c:yMode val="edge"/>
              <c:x val="2.8880866425992781E-2"/>
              <c:y val="0.36971830985915494"/>
            </c:manualLayout>
          </c:layout>
          <c:spPr>
            <a:noFill/>
            <a:ln w="25400">
              <a:noFill/>
            </a:ln>
          </c:spPr>
        </c:title>
        <c:numFmt formatCode="General" sourceLinked="1"/>
        <c:majorTickMark val="in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5300825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89350180505415167"/>
          <c:y val="0.28521126760563381"/>
          <c:w val="0.98555956678700363"/>
          <c:h val="0.82746478873239437"/>
        </c:manualLayout>
      </c:layout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25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  <a:cs typeface="ＭＳ Ｐゴシック"/>
            </a:defRPr>
          </a:pPr>
          <a:endParaRPr lang="ja-JP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ＭＳ Ｐゴシック"/>
          <a:ea typeface="ＭＳ Ｐゴシック"/>
          <a:cs typeface="ＭＳ Ｐゴシック"/>
        </a:defRPr>
      </a:pPr>
      <a:endParaRPr lang="ja-JP"/>
    </a:p>
  </c:txPr>
  <c:printSettings>
    <c:headerFooter alignWithMargins="0"/>
    <c:pageMargins b="0.98399999999999999" l="0.78700000000000003" r="0.78700000000000003" t="0.98399999999999999" header="0.51200000000000001" footer="0.51200000000000001"/>
    <c:pageSetup paperSize="9" orientation="landscape" verticalDpi="0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ja-JP"/>
  <c:chart>
    <c:title>
      <c:tx>
        <c:rich>
          <a:bodyPr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r>
              <a:rPr lang="ja-JP" altLang="en-US"/>
              <a:t>心理調査</a:t>
            </a:r>
            <a:r>
              <a:rPr lang="en-US" altLang="en-US"/>
              <a:t>ＰＯＭＳ （</a:t>
            </a:r>
            <a:r>
              <a:rPr lang="ja-JP" altLang="en-US"/>
              <a:t>施術後）</a:t>
            </a:r>
          </a:p>
        </c:rich>
      </c:tx>
      <c:layout>
        <c:manualLayout>
          <c:xMode val="edge"/>
          <c:yMode val="edge"/>
          <c:x val="0.33270361053639558"/>
          <c:y val="4.5774647887323945E-2"/>
        </c:manualLayout>
      </c:layout>
      <c:spPr>
        <a:noFill/>
        <a:ln w="25400">
          <a:noFill/>
        </a:ln>
      </c:spPr>
    </c:title>
    <c:plotArea>
      <c:layout>
        <c:manualLayout>
          <c:layoutTarget val="inner"/>
          <c:xMode val="edge"/>
          <c:yMode val="edge"/>
          <c:x val="0.10964093295956862"/>
          <c:y val="0.14788732394366197"/>
          <c:w val="0.76181544797769263"/>
          <c:h val="0.54225352112676017"/>
        </c:manualLayout>
      </c:layout>
      <c:lineChart>
        <c:grouping val="standard"/>
        <c:ser>
          <c:idx val="0"/>
          <c:order val="0"/>
          <c:tx>
            <c:strRef>
              <c:f>作成用データ!$B$25</c:f>
              <c:strCache>
                <c:ptCount val="1"/>
                <c:pt idx="0">
                  <c:v>Ｗ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strRef>
              <c:f>作成用データ!$C$24:$H$24</c:f>
              <c:strCache>
                <c:ptCount val="6"/>
                <c:pt idx="0">
                  <c:v>緊張－不安</c:v>
                </c:pt>
                <c:pt idx="1">
                  <c:v>抑うつー落込み</c:v>
                </c:pt>
                <c:pt idx="2">
                  <c:v>怒り―敵意</c:v>
                </c:pt>
                <c:pt idx="3">
                  <c:v>活気</c:v>
                </c:pt>
                <c:pt idx="4">
                  <c:v>疲労</c:v>
                </c:pt>
                <c:pt idx="5">
                  <c:v>混乱</c:v>
                </c:pt>
              </c:strCache>
            </c:strRef>
          </c:cat>
          <c:val>
            <c:numRef>
              <c:f>作成用データ!$C$25:$H$25</c:f>
              <c:numCache>
                <c:formatCode>General</c:formatCode>
                <c:ptCount val="6"/>
                <c:pt idx="0">
                  <c:v>41</c:v>
                </c:pt>
                <c:pt idx="1">
                  <c:v>49</c:v>
                </c:pt>
                <c:pt idx="2">
                  <c:v>40</c:v>
                </c:pt>
                <c:pt idx="3">
                  <c:v>34</c:v>
                </c:pt>
                <c:pt idx="4">
                  <c:v>49</c:v>
                </c:pt>
                <c:pt idx="5">
                  <c:v>36</c:v>
                </c:pt>
              </c:numCache>
            </c:numRef>
          </c:val>
        </c:ser>
        <c:ser>
          <c:idx val="1"/>
          <c:order val="1"/>
          <c:tx>
            <c:strRef>
              <c:f>作成用データ!$B$26</c:f>
              <c:strCache>
                <c:ptCount val="1"/>
                <c:pt idx="0">
                  <c:v>Ｓ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strRef>
              <c:f>作成用データ!$C$24:$H$24</c:f>
              <c:strCache>
                <c:ptCount val="6"/>
                <c:pt idx="0">
                  <c:v>緊張－不安</c:v>
                </c:pt>
                <c:pt idx="1">
                  <c:v>抑うつー落込み</c:v>
                </c:pt>
                <c:pt idx="2">
                  <c:v>怒り―敵意</c:v>
                </c:pt>
                <c:pt idx="3">
                  <c:v>活気</c:v>
                </c:pt>
                <c:pt idx="4">
                  <c:v>疲労</c:v>
                </c:pt>
                <c:pt idx="5">
                  <c:v>混乱</c:v>
                </c:pt>
              </c:strCache>
            </c:strRef>
          </c:cat>
          <c:val>
            <c:numRef>
              <c:f>作成用データ!$C$26:$H$26</c:f>
              <c:numCache>
                <c:formatCode>General</c:formatCode>
                <c:ptCount val="6"/>
                <c:pt idx="0">
                  <c:v>34</c:v>
                </c:pt>
                <c:pt idx="1">
                  <c:v>39</c:v>
                </c:pt>
                <c:pt idx="2">
                  <c:v>37</c:v>
                </c:pt>
                <c:pt idx="3">
                  <c:v>58</c:v>
                </c:pt>
                <c:pt idx="4">
                  <c:v>35</c:v>
                </c:pt>
                <c:pt idx="5">
                  <c:v>36</c:v>
                </c:pt>
              </c:numCache>
            </c:numRef>
          </c:val>
        </c:ser>
        <c:ser>
          <c:idx val="2"/>
          <c:order val="2"/>
          <c:tx>
            <c:strRef>
              <c:f>作成用データ!$B$27</c:f>
              <c:strCache>
                <c:ptCount val="1"/>
                <c:pt idx="0">
                  <c:v>Ｎ</c:v>
                </c:pt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strRef>
              <c:f>作成用データ!$C$24:$H$24</c:f>
              <c:strCache>
                <c:ptCount val="6"/>
                <c:pt idx="0">
                  <c:v>緊張－不安</c:v>
                </c:pt>
                <c:pt idx="1">
                  <c:v>抑うつー落込み</c:v>
                </c:pt>
                <c:pt idx="2">
                  <c:v>怒り―敵意</c:v>
                </c:pt>
                <c:pt idx="3">
                  <c:v>活気</c:v>
                </c:pt>
                <c:pt idx="4">
                  <c:v>疲労</c:v>
                </c:pt>
                <c:pt idx="5">
                  <c:v>混乱</c:v>
                </c:pt>
              </c:strCache>
            </c:strRef>
          </c:cat>
          <c:val>
            <c:numRef>
              <c:f>作成用データ!$C$27:$H$27</c:f>
              <c:numCache>
                <c:formatCode>General</c:formatCode>
                <c:ptCount val="6"/>
                <c:pt idx="0">
                  <c:v>34</c:v>
                </c:pt>
                <c:pt idx="1">
                  <c:v>39</c:v>
                </c:pt>
                <c:pt idx="2">
                  <c:v>37</c:v>
                </c:pt>
                <c:pt idx="3">
                  <c:v>37</c:v>
                </c:pt>
                <c:pt idx="4">
                  <c:v>45</c:v>
                </c:pt>
                <c:pt idx="5">
                  <c:v>36</c:v>
                </c:pt>
              </c:numCache>
            </c:numRef>
          </c:val>
        </c:ser>
        <c:ser>
          <c:idx val="3"/>
          <c:order val="3"/>
          <c:tx>
            <c:strRef>
              <c:f>作成用データ!$B$28</c:f>
              <c:strCache>
                <c:ptCount val="1"/>
                <c:pt idx="0">
                  <c:v>Ｔ</c:v>
                </c:pt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strRef>
              <c:f>作成用データ!$C$24:$H$24</c:f>
              <c:strCache>
                <c:ptCount val="6"/>
                <c:pt idx="0">
                  <c:v>緊張－不安</c:v>
                </c:pt>
                <c:pt idx="1">
                  <c:v>抑うつー落込み</c:v>
                </c:pt>
                <c:pt idx="2">
                  <c:v>怒り―敵意</c:v>
                </c:pt>
                <c:pt idx="3">
                  <c:v>活気</c:v>
                </c:pt>
                <c:pt idx="4">
                  <c:v>疲労</c:v>
                </c:pt>
                <c:pt idx="5">
                  <c:v>混乱</c:v>
                </c:pt>
              </c:strCache>
            </c:strRef>
          </c:cat>
          <c:val>
            <c:numRef>
              <c:f>作成用データ!$C$28:$H$28</c:f>
              <c:numCache>
                <c:formatCode>General</c:formatCode>
                <c:ptCount val="6"/>
                <c:pt idx="0">
                  <c:v>35</c:v>
                </c:pt>
                <c:pt idx="1">
                  <c:v>40</c:v>
                </c:pt>
                <c:pt idx="2">
                  <c:v>37</c:v>
                </c:pt>
                <c:pt idx="3">
                  <c:v>42</c:v>
                </c:pt>
                <c:pt idx="4">
                  <c:v>40</c:v>
                </c:pt>
                <c:pt idx="5">
                  <c:v>42</c:v>
                </c:pt>
              </c:numCache>
            </c:numRef>
          </c:val>
        </c:ser>
        <c:ser>
          <c:idx val="4"/>
          <c:order val="4"/>
          <c:tx>
            <c:strRef>
              <c:f>作成用データ!$B$29</c:f>
              <c:strCache>
                <c:ptCount val="1"/>
                <c:pt idx="0">
                  <c:v>Ｋ</c:v>
                </c:pt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strRef>
              <c:f>作成用データ!$C$24:$H$24</c:f>
              <c:strCache>
                <c:ptCount val="6"/>
                <c:pt idx="0">
                  <c:v>緊張－不安</c:v>
                </c:pt>
                <c:pt idx="1">
                  <c:v>抑うつー落込み</c:v>
                </c:pt>
                <c:pt idx="2">
                  <c:v>怒り―敵意</c:v>
                </c:pt>
                <c:pt idx="3">
                  <c:v>活気</c:v>
                </c:pt>
                <c:pt idx="4">
                  <c:v>疲労</c:v>
                </c:pt>
                <c:pt idx="5">
                  <c:v>混乱</c:v>
                </c:pt>
              </c:strCache>
            </c:strRef>
          </c:cat>
          <c:val>
            <c:numRef>
              <c:f>作成用データ!$C$29:$H$29</c:f>
              <c:numCache>
                <c:formatCode>General</c:formatCode>
                <c:ptCount val="6"/>
                <c:pt idx="0">
                  <c:v>34</c:v>
                </c:pt>
                <c:pt idx="1">
                  <c:v>39</c:v>
                </c:pt>
                <c:pt idx="2">
                  <c:v>37</c:v>
                </c:pt>
                <c:pt idx="3">
                  <c:v>39</c:v>
                </c:pt>
                <c:pt idx="4">
                  <c:v>33</c:v>
                </c:pt>
                <c:pt idx="5">
                  <c:v>42</c:v>
                </c:pt>
              </c:numCache>
            </c:numRef>
          </c:val>
        </c:ser>
        <c:ser>
          <c:idx val="5"/>
          <c:order val="5"/>
          <c:tx>
            <c:strRef>
              <c:f>作成用データ!$B$30</c:f>
              <c:strCache>
                <c:ptCount val="1"/>
                <c:pt idx="0">
                  <c:v>Ｍ</c:v>
                </c:pt>
              </c:strCache>
            </c:strRef>
          </c:tx>
          <c:spPr>
            <a:ln w="12700">
              <a:solidFill>
                <a:srgbClr val="8000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cat>
            <c:strRef>
              <c:f>作成用データ!$C$24:$H$24</c:f>
              <c:strCache>
                <c:ptCount val="6"/>
                <c:pt idx="0">
                  <c:v>緊張－不安</c:v>
                </c:pt>
                <c:pt idx="1">
                  <c:v>抑うつー落込み</c:v>
                </c:pt>
                <c:pt idx="2">
                  <c:v>怒り―敵意</c:v>
                </c:pt>
                <c:pt idx="3">
                  <c:v>活気</c:v>
                </c:pt>
                <c:pt idx="4">
                  <c:v>疲労</c:v>
                </c:pt>
                <c:pt idx="5">
                  <c:v>混乱</c:v>
                </c:pt>
              </c:strCache>
            </c:strRef>
          </c:cat>
          <c:val>
            <c:numRef>
              <c:f>作成用データ!$C$30:$H$30</c:f>
              <c:numCache>
                <c:formatCode>General</c:formatCode>
                <c:ptCount val="6"/>
                <c:pt idx="0">
                  <c:v>34</c:v>
                </c:pt>
                <c:pt idx="1">
                  <c:v>42</c:v>
                </c:pt>
                <c:pt idx="2">
                  <c:v>37</c:v>
                </c:pt>
                <c:pt idx="3">
                  <c:v>44</c:v>
                </c:pt>
                <c:pt idx="4">
                  <c:v>39</c:v>
                </c:pt>
                <c:pt idx="5">
                  <c:v>36</c:v>
                </c:pt>
              </c:numCache>
            </c:numRef>
          </c:val>
        </c:ser>
        <c:ser>
          <c:idx val="6"/>
          <c:order val="6"/>
          <c:tx>
            <c:strRef>
              <c:f>作成用データ!$B$31</c:f>
              <c:strCache>
                <c:ptCount val="1"/>
                <c:pt idx="0">
                  <c:v>Ｙ</c:v>
                </c:pt>
              </c:strCache>
            </c:strRef>
          </c:tx>
          <c:spPr>
            <a:ln w="12700">
              <a:solidFill>
                <a:srgbClr val="008080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008080"/>
                </a:solidFill>
                <a:prstDash val="solid"/>
              </a:ln>
            </c:spPr>
          </c:marker>
          <c:cat>
            <c:strRef>
              <c:f>作成用データ!$C$24:$H$24</c:f>
              <c:strCache>
                <c:ptCount val="6"/>
                <c:pt idx="0">
                  <c:v>緊張－不安</c:v>
                </c:pt>
                <c:pt idx="1">
                  <c:v>抑うつー落込み</c:v>
                </c:pt>
                <c:pt idx="2">
                  <c:v>怒り―敵意</c:v>
                </c:pt>
                <c:pt idx="3">
                  <c:v>活気</c:v>
                </c:pt>
                <c:pt idx="4">
                  <c:v>疲労</c:v>
                </c:pt>
                <c:pt idx="5">
                  <c:v>混乱</c:v>
                </c:pt>
              </c:strCache>
            </c:strRef>
          </c:cat>
          <c:val>
            <c:numRef>
              <c:f>作成用データ!$C$31:$H$31</c:f>
              <c:numCache>
                <c:formatCode>General</c:formatCode>
                <c:ptCount val="6"/>
                <c:pt idx="0">
                  <c:v>33</c:v>
                </c:pt>
                <c:pt idx="1">
                  <c:v>45</c:v>
                </c:pt>
                <c:pt idx="2">
                  <c:v>37</c:v>
                </c:pt>
                <c:pt idx="3">
                  <c:v>66</c:v>
                </c:pt>
                <c:pt idx="4">
                  <c:v>40</c:v>
                </c:pt>
                <c:pt idx="5">
                  <c:v>39</c:v>
                </c:pt>
              </c:numCache>
            </c:numRef>
          </c:val>
        </c:ser>
        <c:ser>
          <c:idx val="7"/>
          <c:order val="7"/>
          <c:tx>
            <c:strRef>
              <c:f>作成用データ!$B$32</c:f>
              <c:strCache>
                <c:ptCount val="1"/>
                <c:pt idx="0">
                  <c:v>Ｕ</c:v>
                </c:pt>
              </c:strCache>
            </c:strRef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0000FF"/>
                </a:solidFill>
                <a:prstDash val="solid"/>
              </a:ln>
            </c:spPr>
          </c:marker>
          <c:cat>
            <c:strRef>
              <c:f>作成用データ!$C$24:$H$24</c:f>
              <c:strCache>
                <c:ptCount val="6"/>
                <c:pt idx="0">
                  <c:v>緊張－不安</c:v>
                </c:pt>
                <c:pt idx="1">
                  <c:v>抑うつー落込み</c:v>
                </c:pt>
                <c:pt idx="2">
                  <c:v>怒り―敵意</c:v>
                </c:pt>
                <c:pt idx="3">
                  <c:v>活気</c:v>
                </c:pt>
                <c:pt idx="4">
                  <c:v>疲労</c:v>
                </c:pt>
                <c:pt idx="5">
                  <c:v>混乱</c:v>
                </c:pt>
              </c:strCache>
            </c:strRef>
          </c:cat>
          <c:val>
            <c:numRef>
              <c:f>作成用データ!$C$32:$H$32</c:f>
              <c:numCache>
                <c:formatCode>General</c:formatCode>
                <c:ptCount val="6"/>
                <c:pt idx="0">
                  <c:v>33</c:v>
                </c:pt>
                <c:pt idx="1">
                  <c:v>40</c:v>
                </c:pt>
                <c:pt idx="2">
                  <c:v>37</c:v>
                </c:pt>
                <c:pt idx="3">
                  <c:v>42</c:v>
                </c:pt>
                <c:pt idx="4">
                  <c:v>36</c:v>
                </c:pt>
                <c:pt idx="5">
                  <c:v>42</c:v>
                </c:pt>
              </c:numCache>
            </c:numRef>
          </c:val>
        </c:ser>
        <c:ser>
          <c:idx val="8"/>
          <c:order val="8"/>
          <c:tx>
            <c:strRef>
              <c:f>作成用データ!$B$33</c:f>
              <c:strCache>
                <c:ptCount val="1"/>
                <c:pt idx="0">
                  <c:v>Ｆ</c:v>
                </c:pt>
              </c:strCache>
            </c:strRef>
          </c:tx>
          <c:spPr>
            <a:ln w="12700">
              <a:solidFill>
                <a:srgbClr val="00CCFF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00CCFF"/>
                </a:solidFill>
                <a:prstDash val="solid"/>
              </a:ln>
            </c:spPr>
          </c:marker>
          <c:cat>
            <c:strRef>
              <c:f>作成用データ!$C$24:$H$24</c:f>
              <c:strCache>
                <c:ptCount val="6"/>
                <c:pt idx="0">
                  <c:v>緊張－不安</c:v>
                </c:pt>
                <c:pt idx="1">
                  <c:v>抑うつー落込み</c:v>
                </c:pt>
                <c:pt idx="2">
                  <c:v>怒り―敵意</c:v>
                </c:pt>
                <c:pt idx="3">
                  <c:v>活気</c:v>
                </c:pt>
                <c:pt idx="4">
                  <c:v>疲労</c:v>
                </c:pt>
                <c:pt idx="5">
                  <c:v>混乱</c:v>
                </c:pt>
              </c:strCache>
            </c:strRef>
          </c:cat>
          <c:val>
            <c:numRef>
              <c:f>作成用データ!$C$33:$H$33</c:f>
              <c:numCache>
                <c:formatCode>General</c:formatCode>
                <c:ptCount val="6"/>
                <c:pt idx="0">
                  <c:v>34</c:v>
                </c:pt>
                <c:pt idx="1">
                  <c:v>39</c:v>
                </c:pt>
                <c:pt idx="2">
                  <c:v>37</c:v>
                </c:pt>
                <c:pt idx="3">
                  <c:v>58</c:v>
                </c:pt>
                <c:pt idx="4">
                  <c:v>37</c:v>
                </c:pt>
                <c:pt idx="5">
                  <c:v>42</c:v>
                </c:pt>
              </c:numCache>
            </c:numRef>
          </c:val>
        </c:ser>
        <c:marker val="1"/>
        <c:axId val="53020160"/>
        <c:axId val="53022080"/>
      </c:lineChart>
      <c:catAx>
        <c:axId val="53020160"/>
        <c:scaling>
          <c:orientation val="minMax"/>
        </c:scaling>
        <c:axPos val="b"/>
        <c:numFmt formatCode="General" sourceLinked="1"/>
        <c:majorTickMark val="in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925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53022080"/>
        <c:crosses val="autoZero"/>
        <c:auto val="1"/>
        <c:lblAlgn val="ctr"/>
        <c:lblOffset val="100"/>
        <c:tickLblSkip val="1"/>
        <c:tickMarkSkip val="1"/>
      </c:catAx>
      <c:valAx>
        <c:axId val="53022080"/>
        <c:scaling>
          <c:orientation val="minMax"/>
        </c:scaling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25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r>
                  <a:rPr lang="ja-JP" altLang="en-US"/>
                  <a:t>得点</a:t>
                </a:r>
              </a:p>
            </c:rich>
          </c:tx>
          <c:layout>
            <c:manualLayout>
              <c:xMode val="edge"/>
              <c:yMode val="edge"/>
              <c:x val="2.835538752362949E-2"/>
              <c:y val="0.36971830985915494"/>
            </c:manualLayout>
          </c:layout>
          <c:spPr>
            <a:noFill/>
            <a:ln w="25400">
              <a:noFill/>
            </a:ln>
          </c:spPr>
        </c:title>
        <c:numFmt formatCode="General" sourceLinked="1"/>
        <c:majorTickMark val="in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25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5302016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89225032126182713"/>
          <c:y val="0.31338028169014087"/>
          <c:w val="0.98487792050568346"/>
          <c:h val="0.823943661971831"/>
        </c:manualLayout>
      </c:layout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8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  <a:cs typeface="ＭＳ Ｐゴシック"/>
            </a:defRPr>
          </a:pPr>
          <a:endParaRPr lang="ja-JP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50" b="0" i="0" u="none" strike="noStrike" baseline="0">
          <a:solidFill>
            <a:srgbClr val="000000"/>
          </a:solidFill>
          <a:latin typeface="ＭＳ Ｐゴシック"/>
          <a:ea typeface="ＭＳ Ｐゴシック"/>
          <a:cs typeface="ＭＳ Ｐゴシック"/>
        </a:defRPr>
      </a:pPr>
      <a:endParaRPr lang="ja-JP"/>
    </a:p>
  </c:txPr>
  <c:printSettings>
    <c:headerFooter alignWithMargins="0"/>
    <c:pageMargins b="0.98399999999999999" l="0.78700000000000003" r="0.78700000000000003" t="0.98399999999999999" header="0.51200000000000001" footer="0.51200000000000001"/>
    <c:pageSetup orientation="portrait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ja-JP"/>
  <c:chart>
    <c:plotArea>
      <c:layout>
        <c:manualLayout>
          <c:layoutTarget val="inner"/>
          <c:xMode val="edge"/>
          <c:yMode val="edge"/>
          <c:x val="6.3369397217928919E-2"/>
          <c:y val="7.4626865671641784E-2"/>
          <c:w val="0.8238021638330757"/>
          <c:h val="0.61791044776119419"/>
        </c:manualLayout>
      </c:layout>
      <c:lineChart>
        <c:grouping val="standard"/>
        <c:ser>
          <c:idx val="0"/>
          <c:order val="0"/>
          <c:tx>
            <c:strRef>
              <c:f>作成用データ!$B$89</c:f>
              <c:strCache>
                <c:ptCount val="1"/>
                <c:pt idx="0">
                  <c:v>前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strRef>
              <c:f>作成用データ!$C$88:$H$88</c:f>
              <c:strCache>
                <c:ptCount val="6"/>
                <c:pt idx="0">
                  <c:v>緊張－不安</c:v>
                </c:pt>
                <c:pt idx="1">
                  <c:v>抑うつー落込み</c:v>
                </c:pt>
                <c:pt idx="2">
                  <c:v>怒り―敵意</c:v>
                </c:pt>
                <c:pt idx="3">
                  <c:v>活気</c:v>
                </c:pt>
                <c:pt idx="4">
                  <c:v>疲労</c:v>
                </c:pt>
                <c:pt idx="5">
                  <c:v>混乱</c:v>
                </c:pt>
              </c:strCache>
            </c:strRef>
          </c:cat>
          <c:val>
            <c:numRef>
              <c:f>作成用データ!$C$89:$H$89</c:f>
              <c:numCache>
                <c:formatCode>General</c:formatCode>
                <c:ptCount val="6"/>
                <c:pt idx="0">
                  <c:v>42.125</c:v>
                </c:pt>
                <c:pt idx="1">
                  <c:v>47.5</c:v>
                </c:pt>
                <c:pt idx="2">
                  <c:v>39.75</c:v>
                </c:pt>
                <c:pt idx="3">
                  <c:v>43.625</c:v>
                </c:pt>
                <c:pt idx="4">
                  <c:v>47.125</c:v>
                </c:pt>
                <c:pt idx="5">
                  <c:v>44.625</c:v>
                </c:pt>
              </c:numCache>
            </c:numRef>
          </c:val>
        </c:ser>
        <c:ser>
          <c:idx val="1"/>
          <c:order val="1"/>
          <c:tx>
            <c:strRef>
              <c:f>作成用データ!$B$90</c:f>
              <c:strCache>
                <c:ptCount val="1"/>
                <c:pt idx="0">
                  <c:v>後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strRef>
              <c:f>作成用データ!$C$88:$H$88</c:f>
              <c:strCache>
                <c:ptCount val="6"/>
                <c:pt idx="0">
                  <c:v>緊張－不安</c:v>
                </c:pt>
                <c:pt idx="1">
                  <c:v>抑うつー落込み</c:v>
                </c:pt>
                <c:pt idx="2">
                  <c:v>怒り―敵意</c:v>
                </c:pt>
                <c:pt idx="3">
                  <c:v>活気</c:v>
                </c:pt>
                <c:pt idx="4">
                  <c:v>疲労</c:v>
                </c:pt>
                <c:pt idx="5">
                  <c:v>混乱</c:v>
                </c:pt>
              </c:strCache>
            </c:strRef>
          </c:cat>
          <c:val>
            <c:numRef>
              <c:f>作成用データ!$C$90:$H$90</c:f>
              <c:numCache>
                <c:formatCode>General</c:formatCode>
                <c:ptCount val="6"/>
                <c:pt idx="0">
                  <c:v>34.75</c:v>
                </c:pt>
                <c:pt idx="1">
                  <c:v>41.625</c:v>
                </c:pt>
                <c:pt idx="2">
                  <c:v>37.375</c:v>
                </c:pt>
                <c:pt idx="3">
                  <c:v>47.875</c:v>
                </c:pt>
                <c:pt idx="4">
                  <c:v>38.625</c:v>
                </c:pt>
                <c:pt idx="5">
                  <c:v>39.375</c:v>
                </c:pt>
              </c:numCache>
            </c:numRef>
          </c:val>
        </c:ser>
        <c:marker val="1"/>
        <c:axId val="50749824"/>
        <c:axId val="50751744"/>
      </c:lineChart>
      <c:catAx>
        <c:axId val="50749824"/>
        <c:scaling>
          <c:orientation val="minMax"/>
        </c:scaling>
        <c:axPos val="b"/>
        <c:numFmt formatCode="General" sourceLinked="1"/>
        <c:majorTickMark val="in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025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50751744"/>
        <c:crosses val="autoZero"/>
        <c:auto val="1"/>
        <c:lblAlgn val="ctr"/>
        <c:lblOffset val="100"/>
        <c:tickLblSkip val="1"/>
        <c:tickMarkSkip val="1"/>
      </c:catAx>
      <c:valAx>
        <c:axId val="50751744"/>
        <c:scaling>
          <c:orientation val="minMax"/>
        </c:scaling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in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25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5074982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0417310664605877"/>
          <c:y val="0.32537313432835818"/>
          <c:w val="8.5007727975270481E-2"/>
          <c:h val="0.11940298507462686"/>
        </c:manualLayout>
      </c:layout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4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  <a:cs typeface="ＭＳ Ｐゴシック"/>
            </a:defRPr>
          </a:pPr>
          <a:endParaRPr lang="ja-JP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25" b="0" i="0" u="none" strike="noStrike" baseline="0">
          <a:solidFill>
            <a:srgbClr val="000000"/>
          </a:solidFill>
          <a:latin typeface="ＭＳ Ｐゴシック"/>
          <a:ea typeface="ＭＳ Ｐゴシック"/>
          <a:cs typeface="ＭＳ Ｐゴシック"/>
        </a:defRPr>
      </a:pPr>
      <a:endParaRPr lang="ja-JP"/>
    </a:p>
  </c:txPr>
  <c:printSettings>
    <c:headerFooter alignWithMargins="0"/>
    <c:pageMargins b="0.98399999999999999" l="0.78700000000000003" r="0.78700000000000003" t="0.98399999999999999" header="0.51200000000000001" footer="0.51200000000000001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ja-JP"/>
  <c:chart>
    <c:plotArea>
      <c:layout>
        <c:manualLayout>
          <c:layoutTarget val="inner"/>
          <c:xMode val="edge"/>
          <c:yMode val="edge"/>
          <c:x val="7.0312553644221246E-2"/>
          <c:y val="7.2022258080659846E-2"/>
          <c:w val="0.81406312108087242"/>
          <c:h val="0.62049945423337749"/>
        </c:manualLayout>
      </c:layout>
      <c:lineChart>
        <c:grouping val="standard"/>
        <c:ser>
          <c:idx val="0"/>
          <c:order val="0"/>
          <c:tx>
            <c:strRef>
              <c:f>作成用データ!$B$61</c:f>
              <c:strCache>
                <c:ptCount val="1"/>
                <c:pt idx="0">
                  <c:v>Ｗ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strRef>
              <c:f>作成用データ!$C$60:$H$60</c:f>
              <c:strCache>
                <c:ptCount val="6"/>
                <c:pt idx="0">
                  <c:v>緊張－不安</c:v>
                </c:pt>
                <c:pt idx="1">
                  <c:v>抑うつー落込み</c:v>
                </c:pt>
                <c:pt idx="2">
                  <c:v>怒り―敵意</c:v>
                </c:pt>
                <c:pt idx="3">
                  <c:v>活気</c:v>
                </c:pt>
                <c:pt idx="4">
                  <c:v>疲労</c:v>
                </c:pt>
                <c:pt idx="5">
                  <c:v>混乱</c:v>
                </c:pt>
              </c:strCache>
            </c:strRef>
          </c:cat>
          <c:val>
            <c:numRef>
              <c:f>作成用データ!$C$61:$H$61</c:f>
              <c:numCache>
                <c:formatCode>General</c:formatCode>
                <c:ptCount val="6"/>
                <c:pt idx="0">
                  <c:v>48</c:v>
                </c:pt>
                <c:pt idx="1">
                  <c:v>61</c:v>
                </c:pt>
                <c:pt idx="2">
                  <c:v>48</c:v>
                </c:pt>
                <c:pt idx="3">
                  <c:v>32</c:v>
                </c:pt>
                <c:pt idx="4">
                  <c:v>59</c:v>
                </c:pt>
                <c:pt idx="5">
                  <c:v>45</c:v>
                </c:pt>
              </c:numCache>
            </c:numRef>
          </c:val>
        </c:ser>
        <c:ser>
          <c:idx val="1"/>
          <c:order val="1"/>
          <c:tx>
            <c:strRef>
              <c:f>作成用データ!$B$62</c:f>
              <c:strCache>
                <c:ptCount val="1"/>
                <c:pt idx="0">
                  <c:v>Ｓ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strRef>
              <c:f>作成用データ!$C$60:$H$60</c:f>
              <c:strCache>
                <c:ptCount val="6"/>
                <c:pt idx="0">
                  <c:v>緊張－不安</c:v>
                </c:pt>
                <c:pt idx="1">
                  <c:v>抑うつー落込み</c:v>
                </c:pt>
                <c:pt idx="2">
                  <c:v>怒り―敵意</c:v>
                </c:pt>
                <c:pt idx="3">
                  <c:v>活気</c:v>
                </c:pt>
                <c:pt idx="4">
                  <c:v>疲労</c:v>
                </c:pt>
                <c:pt idx="5">
                  <c:v>混乱</c:v>
                </c:pt>
              </c:strCache>
            </c:strRef>
          </c:cat>
          <c:val>
            <c:numRef>
              <c:f>作成用データ!$C$62:$H$62</c:f>
              <c:numCache>
                <c:formatCode>General</c:formatCode>
                <c:ptCount val="6"/>
                <c:pt idx="0">
                  <c:v>36</c:v>
                </c:pt>
                <c:pt idx="1">
                  <c:v>39</c:v>
                </c:pt>
                <c:pt idx="2">
                  <c:v>37</c:v>
                </c:pt>
                <c:pt idx="3">
                  <c:v>39</c:v>
                </c:pt>
                <c:pt idx="4">
                  <c:v>49</c:v>
                </c:pt>
                <c:pt idx="5">
                  <c:v>36</c:v>
                </c:pt>
              </c:numCache>
            </c:numRef>
          </c:val>
        </c:ser>
        <c:ser>
          <c:idx val="2"/>
          <c:order val="2"/>
          <c:tx>
            <c:strRef>
              <c:f>作成用データ!$B$63</c:f>
              <c:strCache>
                <c:ptCount val="1"/>
                <c:pt idx="0">
                  <c:v>Ｔ</c:v>
                </c:pt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strRef>
              <c:f>作成用データ!$C$60:$H$60</c:f>
              <c:strCache>
                <c:ptCount val="6"/>
                <c:pt idx="0">
                  <c:v>緊張－不安</c:v>
                </c:pt>
                <c:pt idx="1">
                  <c:v>抑うつー落込み</c:v>
                </c:pt>
                <c:pt idx="2">
                  <c:v>怒り―敵意</c:v>
                </c:pt>
                <c:pt idx="3">
                  <c:v>活気</c:v>
                </c:pt>
                <c:pt idx="4">
                  <c:v>疲労</c:v>
                </c:pt>
                <c:pt idx="5">
                  <c:v>混乱</c:v>
                </c:pt>
              </c:strCache>
            </c:strRef>
          </c:cat>
          <c:val>
            <c:numRef>
              <c:f>作成用データ!$C$63:$H$63</c:f>
              <c:numCache>
                <c:formatCode>General</c:formatCode>
                <c:ptCount val="6"/>
                <c:pt idx="0">
                  <c:v>55</c:v>
                </c:pt>
                <c:pt idx="1">
                  <c:v>53</c:v>
                </c:pt>
                <c:pt idx="2">
                  <c:v>48</c:v>
                </c:pt>
                <c:pt idx="3">
                  <c:v>35</c:v>
                </c:pt>
                <c:pt idx="4">
                  <c:v>48</c:v>
                </c:pt>
                <c:pt idx="5">
                  <c:v>51</c:v>
                </c:pt>
              </c:numCache>
            </c:numRef>
          </c:val>
        </c:ser>
        <c:ser>
          <c:idx val="3"/>
          <c:order val="3"/>
          <c:tx>
            <c:strRef>
              <c:f>作成用データ!$B$64</c:f>
              <c:strCache>
                <c:ptCount val="1"/>
                <c:pt idx="0">
                  <c:v>Ｋ</c:v>
                </c:pt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strRef>
              <c:f>作成用データ!$C$60:$H$60</c:f>
              <c:strCache>
                <c:ptCount val="6"/>
                <c:pt idx="0">
                  <c:v>緊張－不安</c:v>
                </c:pt>
                <c:pt idx="1">
                  <c:v>抑うつー落込み</c:v>
                </c:pt>
                <c:pt idx="2">
                  <c:v>怒り―敵意</c:v>
                </c:pt>
                <c:pt idx="3">
                  <c:v>活気</c:v>
                </c:pt>
                <c:pt idx="4">
                  <c:v>疲労</c:v>
                </c:pt>
                <c:pt idx="5">
                  <c:v>混乱</c:v>
                </c:pt>
              </c:strCache>
            </c:strRef>
          </c:cat>
          <c:val>
            <c:numRef>
              <c:f>作成用データ!$C$64:$H$64</c:f>
              <c:numCache>
                <c:formatCode>General</c:formatCode>
                <c:ptCount val="6"/>
                <c:pt idx="0">
                  <c:v>39</c:v>
                </c:pt>
                <c:pt idx="1">
                  <c:v>42</c:v>
                </c:pt>
                <c:pt idx="2">
                  <c:v>37</c:v>
                </c:pt>
                <c:pt idx="3">
                  <c:v>51</c:v>
                </c:pt>
                <c:pt idx="4">
                  <c:v>37</c:v>
                </c:pt>
                <c:pt idx="5">
                  <c:v>39</c:v>
                </c:pt>
              </c:numCache>
            </c:numRef>
          </c:val>
        </c:ser>
        <c:ser>
          <c:idx val="4"/>
          <c:order val="4"/>
          <c:tx>
            <c:strRef>
              <c:f>作成用データ!$B$65</c:f>
              <c:strCache>
                <c:ptCount val="1"/>
                <c:pt idx="0">
                  <c:v>Ｍ</c:v>
                </c:pt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strRef>
              <c:f>作成用データ!$C$60:$H$60</c:f>
              <c:strCache>
                <c:ptCount val="6"/>
                <c:pt idx="0">
                  <c:v>緊張－不安</c:v>
                </c:pt>
                <c:pt idx="1">
                  <c:v>抑うつー落込み</c:v>
                </c:pt>
                <c:pt idx="2">
                  <c:v>怒り―敵意</c:v>
                </c:pt>
                <c:pt idx="3">
                  <c:v>活気</c:v>
                </c:pt>
                <c:pt idx="4">
                  <c:v>疲労</c:v>
                </c:pt>
                <c:pt idx="5">
                  <c:v>混乱</c:v>
                </c:pt>
              </c:strCache>
            </c:strRef>
          </c:cat>
          <c:val>
            <c:numRef>
              <c:f>作成用データ!$C$65:$H$65</c:f>
              <c:numCache>
                <c:formatCode>General</c:formatCode>
                <c:ptCount val="6"/>
                <c:pt idx="0">
                  <c:v>41</c:v>
                </c:pt>
                <c:pt idx="1">
                  <c:v>44</c:v>
                </c:pt>
                <c:pt idx="2">
                  <c:v>37</c:v>
                </c:pt>
                <c:pt idx="3">
                  <c:v>41</c:v>
                </c:pt>
                <c:pt idx="4">
                  <c:v>45</c:v>
                </c:pt>
                <c:pt idx="5">
                  <c:v>42</c:v>
                </c:pt>
              </c:numCache>
            </c:numRef>
          </c:val>
        </c:ser>
        <c:ser>
          <c:idx val="5"/>
          <c:order val="5"/>
          <c:tx>
            <c:strRef>
              <c:f>作成用データ!$B$66</c:f>
              <c:strCache>
                <c:ptCount val="1"/>
                <c:pt idx="0">
                  <c:v>Ｙ</c:v>
                </c:pt>
              </c:strCache>
            </c:strRef>
          </c:tx>
          <c:spPr>
            <a:ln w="12700">
              <a:solidFill>
                <a:srgbClr val="8000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cat>
            <c:strRef>
              <c:f>作成用データ!$C$60:$H$60</c:f>
              <c:strCache>
                <c:ptCount val="6"/>
                <c:pt idx="0">
                  <c:v>緊張－不安</c:v>
                </c:pt>
                <c:pt idx="1">
                  <c:v>抑うつー落込み</c:v>
                </c:pt>
                <c:pt idx="2">
                  <c:v>怒り―敵意</c:v>
                </c:pt>
                <c:pt idx="3">
                  <c:v>活気</c:v>
                </c:pt>
                <c:pt idx="4">
                  <c:v>疲労</c:v>
                </c:pt>
                <c:pt idx="5">
                  <c:v>混乱</c:v>
                </c:pt>
              </c:strCache>
            </c:strRef>
          </c:cat>
          <c:val>
            <c:numRef>
              <c:f>作成用データ!$C$66:$H$66</c:f>
              <c:numCache>
                <c:formatCode>General</c:formatCode>
                <c:ptCount val="6"/>
                <c:pt idx="0">
                  <c:v>35</c:v>
                </c:pt>
                <c:pt idx="1">
                  <c:v>50</c:v>
                </c:pt>
                <c:pt idx="2">
                  <c:v>37</c:v>
                </c:pt>
                <c:pt idx="3">
                  <c:v>61</c:v>
                </c:pt>
                <c:pt idx="4">
                  <c:v>44</c:v>
                </c:pt>
                <c:pt idx="5">
                  <c:v>45</c:v>
                </c:pt>
              </c:numCache>
            </c:numRef>
          </c:val>
        </c:ser>
        <c:ser>
          <c:idx val="6"/>
          <c:order val="6"/>
          <c:tx>
            <c:strRef>
              <c:f>作成用データ!$B$67</c:f>
              <c:strCache>
                <c:ptCount val="1"/>
                <c:pt idx="0">
                  <c:v>Ｕ</c:v>
                </c:pt>
              </c:strCache>
            </c:strRef>
          </c:tx>
          <c:spPr>
            <a:ln w="12700">
              <a:solidFill>
                <a:srgbClr val="008080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008080"/>
                </a:solidFill>
                <a:prstDash val="solid"/>
              </a:ln>
            </c:spPr>
          </c:marker>
          <c:cat>
            <c:strRef>
              <c:f>作成用データ!$C$60:$H$60</c:f>
              <c:strCache>
                <c:ptCount val="6"/>
                <c:pt idx="0">
                  <c:v>緊張－不安</c:v>
                </c:pt>
                <c:pt idx="1">
                  <c:v>抑うつー落込み</c:v>
                </c:pt>
                <c:pt idx="2">
                  <c:v>怒り―敵意</c:v>
                </c:pt>
                <c:pt idx="3">
                  <c:v>活気</c:v>
                </c:pt>
                <c:pt idx="4">
                  <c:v>疲労</c:v>
                </c:pt>
                <c:pt idx="5">
                  <c:v>混乱</c:v>
                </c:pt>
              </c:strCache>
            </c:strRef>
          </c:cat>
          <c:val>
            <c:numRef>
              <c:f>作成用データ!$C$67:$H$67</c:f>
              <c:numCache>
                <c:formatCode>General</c:formatCode>
                <c:ptCount val="6"/>
                <c:pt idx="0">
                  <c:v>35</c:v>
                </c:pt>
                <c:pt idx="1">
                  <c:v>40</c:v>
                </c:pt>
                <c:pt idx="2">
                  <c:v>37</c:v>
                </c:pt>
                <c:pt idx="3">
                  <c:v>37</c:v>
                </c:pt>
                <c:pt idx="4">
                  <c:v>48</c:v>
                </c:pt>
                <c:pt idx="5">
                  <c:v>48</c:v>
                </c:pt>
              </c:numCache>
            </c:numRef>
          </c:val>
        </c:ser>
        <c:ser>
          <c:idx val="7"/>
          <c:order val="7"/>
          <c:tx>
            <c:strRef>
              <c:f>作成用データ!$B$68</c:f>
              <c:strCache>
                <c:ptCount val="1"/>
                <c:pt idx="0">
                  <c:v>Ｆ</c:v>
                </c:pt>
              </c:strCache>
            </c:strRef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0000FF"/>
                </a:solidFill>
                <a:prstDash val="solid"/>
              </a:ln>
            </c:spPr>
          </c:marker>
          <c:cat>
            <c:strRef>
              <c:f>作成用データ!$C$60:$H$60</c:f>
              <c:strCache>
                <c:ptCount val="6"/>
                <c:pt idx="0">
                  <c:v>緊張－不安</c:v>
                </c:pt>
                <c:pt idx="1">
                  <c:v>抑うつー落込み</c:v>
                </c:pt>
                <c:pt idx="2">
                  <c:v>怒り―敵意</c:v>
                </c:pt>
                <c:pt idx="3">
                  <c:v>活気</c:v>
                </c:pt>
                <c:pt idx="4">
                  <c:v>疲労</c:v>
                </c:pt>
                <c:pt idx="5">
                  <c:v>混乱</c:v>
                </c:pt>
              </c:strCache>
            </c:strRef>
          </c:cat>
          <c:val>
            <c:numRef>
              <c:f>作成用データ!$C$68:$H$68</c:f>
              <c:numCache>
                <c:formatCode>General</c:formatCode>
                <c:ptCount val="6"/>
                <c:pt idx="0">
                  <c:v>48</c:v>
                </c:pt>
                <c:pt idx="1">
                  <c:v>51</c:v>
                </c:pt>
                <c:pt idx="2">
                  <c:v>37</c:v>
                </c:pt>
                <c:pt idx="3">
                  <c:v>53</c:v>
                </c:pt>
                <c:pt idx="4">
                  <c:v>47</c:v>
                </c:pt>
                <c:pt idx="5">
                  <c:v>51</c:v>
                </c:pt>
              </c:numCache>
            </c:numRef>
          </c:val>
        </c:ser>
        <c:marker val="1"/>
        <c:axId val="50785280"/>
        <c:axId val="52909184"/>
      </c:lineChart>
      <c:catAx>
        <c:axId val="50785280"/>
        <c:scaling>
          <c:orientation val="minMax"/>
        </c:scaling>
        <c:axPos val="b"/>
        <c:numFmt formatCode="General" sourceLinked="1"/>
        <c:majorTickMark val="in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52909184"/>
        <c:crosses val="autoZero"/>
        <c:auto val="1"/>
        <c:lblAlgn val="ctr"/>
        <c:lblOffset val="100"/>
        <c:tickLblSkip val="1"/>
        <c:tickMarkSkip val="1"/>
      </c:catAx>
      <c:valAx>
        <c:axId val="52909184"/>
        <c:scaling>
          <c:orientation val="minMax"/>
        </c:scaling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in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5078528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0156250000000004"/>
          <c:y val="0.16343490304709141"/>
          <c:w val="8.59375E-2"/>
          <c:h val="0.44598337950138506"/>
        </c:manualLayout>
      </c:layout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1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  <a:cs typeface="ＭＳ Ｐゴシック"/>
            </a:defRPr>
          </a:pPr>
          <a:endParaRPr lang="ja-JP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ＭＳ Ｐゴシック"/>
          <a:ea typeface="ＭＳ Ｐゴシック"/>
          <a:cs typeface="ＭＳ Ｐゴシック"/>
        </a:defRPr>
      </a:pPr>
      <a:endParaRPr lang="ja-JP"/>
    </a:p>
  </c:txPr>
  <c:printSettings>
    <c:headerFooter alignWithMargins="0"/>
    <c:pageMargins b="0.98399999999999999" l="0.78700000000000003" r="0.78700000000000003" t="0.98399999999999999" header="0.51200000000000001" footer="0.51200000000000001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ja-JP"/>
  <c:chart>
    <c:plotArea>
      <c:layout>
        <c:manualLayout>
          <c:layoutTarget val="inner"/>
          <c:xMode val="edge"/>
          <c:yMode val="edge"/>
          <c:x val="7.009356456502594E-2"/>
          <c:y val="7.2022258080659846E-2"/>
          <c:w val="0.81464298372241239"/>
          <c:h val="0.62049945423337749"/>
        </c:manualLayout>
      </c:layout>
      <c:lineChart>
        <c:grouping val="standard"/>
        <c:ser>
          <c:idx val="0"/>
          <c:order val="0"/>
          <c:tx>
            <c:strRef>
              <c:f>作成用データ!$B$75</c:f>
              <c:strCache>
                <c:ptCount val="1"/>
                <c:pt idx="0">
                  <c:v>Ｗ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strRef>
              <c:f>作成用データ!$C$74:$H$74</c:f>
              <c:strCache>
                <c:ptCount val="6"/>
                <c:pt idx="0">
                  <c:v>緊張－不安</c:v>
                </c:pt>
                <c:pt idx="1">
                  <c:v>抑うつー落込み</c:v>
                </c:pt>
                <c:pt idx="2">
                  <c:v>怒り―敵意</c:v>
                </c:pt>
                <c:pt idx="3">
                  <c:v>活気</c:v>
                </c:pt>
                <c:pt idx="4">
                  <c:v>疲労</c:v>
                </c:pt>
                <c:pt idx="5">
                  <c:v>混乱</c:v>
                </c:pt>
              </c:strCache>
            </c:strRef>
          </c:cat>
          <c:val>
            <c:numRef>
              <c:f>作成用データ!$C$75:$H$75</c:f>
              <c:numCache>
                <c:formatCode>General</c:formatCode>
                <c:ptCount val="6"/>
                <c:pt idx="0">
                  <c:v>41</c:v>
                </c:pt>
                <c:pt idx="1">
                  <c:v>49</c:v>
                </c:pt>
                <c:pt idx="2">
                  <c:v>40</c:v>
                </c:pt>
                <c:pt idx="3">
                  <c:v>34</c:v>
                </c:pt>
                <c:pt idx="4">
                  <c:v>49</c:v>
                </c:pt>
                <c:pt idx="5">
                  <c:v>36</c:v>
                </c:pt>
              </c:numCache>
            </c:numRef>
          </c:val>
        </c:ser>
        <c:ser>
          <c:idx val="1"/>
          <c:order val="1"/>
          <c:tx>
            <c:strRef>
              <c:f>作成用データ!$B$76</c:f>
              <c:strCache>
                <c:ptCount val="1"/>
                <c:pt idx="0">
                  <c:v>Ｓ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strRef>
              <c:f>作成用データ!$C$74:$H$74</c:f>
              <c:strCache>
                <c:ptCount val="6"/>
                <c:pt idx="0">
                  <c:v>緊張－不安</c:v>
                </c:pt>
                <c:pt idx="1">
                  <c:v>抑うつー落込み</c:v>
                </c:pt>
                <c:pt idx="2">
                  <c:v>怒り―敵意</c:v>
                </c:pt>
                <c:pt idx="3">
                  <c:v>活気</c:v>
                </c:pt>
                <c:pt idx="4">
                  <c:v>疲労</c:v>
                </c:pt>
                <c:pt idx="5">
                  <c:v>混乱</c:v>
                </c:pt>
              </c:strCache>
            </c:strRef>
          </c:cat>
          <c:val>
            <c:numRef>
              <c:f>作成用データ!$C$76:$H$76</c:f>
              <c:numCache>
                <c:formatCode>General</c:formatCode>
                <c:ptCount val="6"/>
                <c:pt idx="0">
                  <c:v>34</c:v>
                </c:pt>
                <c:pt idx="1">
                  <c:v>39</c:v>
                </c:pt>
                <c:pt idx="2">
                  <c:v>37</c:v>
                </c:pt>
                <c:pt idx="3">
                  <c:v>58</c:v>
                </c:pt>
                <c:pt idx="4">
                  <c:v>35</c:v>
                </c:pt>
                <c:pt idx="5">
                  <c:v>36</c:v>
                </c:pt>
              </c:numCache>
            </c:numRef>
          </c:val>
        </c:ser>
        <c:ser>
          <c:idx val="2"/>
          <c:order val="2"/>
          <c:tx>
            <c:strRef>
              <c:f>作成用データ!$B$77</c:f>
              <c:strCache>
                <c:ptCount val="1"/>
                <c:pt idx="0">
                  <c:v>Ｔ</c:v>
                </c:pt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strRef>
              <c:f>作成用データ!$C$74:$H$74</c:f>
              <c:strCache>
                <c:ptCount val="6"/>
                <c:pt idx="0">
                  <c:v>緊張－不安</c:v>
                </c:pt>
                <c:pt idx="1">
                  <c:v>抑うつー落込み</c:v>
                </c:pt>
                <c:pt idx="2">
                  <c:v>怒り―敵意</c:v>
                </c:pt>
                <c:pt idx="3">
                  <c:v>活気</c:v>
                </c:pt>
                <c:pt idx="4">
                  <c:v>疲労</c:v>
                </c:pt>
                <c:pt idx="5">
                  <c:v>混乱</c:v>
                </c:pt>
              </c:strCache>
            </c:strRef>
          </c:cat>
          <c:val>
            <c:numRef>
              <c:f>作成用データ!$C$77:$H$77</c:f>
              <c:numCache>
                <c:formatCode>General</c:formatCode>
                <c:ptCount val="6"/>
                <c:pt idx="0">
                  <c:v>35</c:v>
                </c:pt>
                <c:pt idx="1">
                  <c:v>40</c:v>
                </c:pt>
                <c:pt idx="2">
                  <c:v>37</c:v>
                </c:pt>
                <c:pt idx="3">
                  <c:v>42</c:v>
                </c:pt>
                <c:pt idx="4">
                  <c:v>40</c:v>
                </c:pt>
                <c:pt idx="5">
                  <c:v>42</c:v>
                </c:pt>
              </c:numCache>
            </c:numRef>
          </c:val>
        </c:ser>
        <c:ser>
          <c:idx val="3"/>
          <c:order val="3"/>
          <c:tx>
            <c:strRef>
              <c:f>作成用データ!$B$78</c:f>
              <c:strCache>
                <c:ptCount val="1"/>
                <c:pt idx="0">
                  <c:v>Ｋ</c:v>
                </c:pt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strRef>
              <c:f>作成用データ!$C$74:$H$74</c:f>
              <c:strCache>
                <c:ptCount val="6"/>
                <c:pt idx="0">
                  <c:v>緊張－不安</c:v>
                </c:pt>
                <c:pt idx="1">
                  <c:v>抑うつー落込み</c:v>
                </c:pt>
                <c:pt idx="2">
                  <c:v>怒り―敵意</c:v>
                </c:pt>
                <c:pt idx="3">
                  <c:v>活気</c:v>
                </c:pt>
                <c:pt idx="4">
                  <c:v>疲労</c:v>
                </c:pt>
                <c:pt idx="5">
                  <c:v>混乱</c:v>
                </c:pt>
              </c:strCache>
            </c:strRef>
          </c:cat>
          <c:val>
            <c:numRef>
              <c:f>作成用データ!$C$78:$H$78</c:f>
              <c:numCache>
                <c:formatCode>General</c:formatCode>
                <c:ptCount val="6"/>
                <c:pt idx="0">
                  <c:v>34</c:v>
                </c:pt>
                <c:pt idx="1">
                  <c:v>39</c:v>
                </c:pt>
                <c:pt idx="2">
                  <c:v>37</c:v>
                </c:pt>
                <c:pt idx="3">
                  <c:v>39</c:v>
                </c:pt>
                <c:pt idx="4">
                  <c:v>33</c:v>
                </c:pt>
                <c:pt idx="5">
                  <c:v>42</c:v>
                </c:pt>
              </c:numCache>
            </c:numRef>
          </c:val>
        </c:ser>
        <c:ser>
          <c:idx val="4"/>
          <c:order val="4"/>
          <c:tx>
            <c:strRef>
              <c:f>作成用データ!$B$79</c:f>
              <c:strCache>
                <c:ptCount val="1"/>
                <c:pt idx="0">
                  <c:v>Ｍ</c:v>
                </c:pt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strRef>
              <c:f>作成用データ!$C$74:$H$74</c:f>
              <c:strCache>
                <c:ptCount val="6"/>
                <c:pt idx="0">
                  <c:v>緊張－不安</c:v>
                </c:pt>
                <c:pt idx="1">
                  <c:v>抑うつー落込み</c:v>
                </c:pt>
                <c:pt idx="2">
                  <c:v>怒り―敵意</c:v>
                </c:pt>
                <c:pt idx="3">
                  <c:v>活気</c:v>
                </c:pt>
                <c:pt idx="4">
                  <c:v>疲労</c:v>
                </c:pt>
                <c:pt idx="5">
                  <c:v>混乱</c:v>
                </c:pt>
              </c:strCache>
            </c:strRef>
          </c:cat>
          <c:val>
            <c:numRef>
              <c:f>作成用データ!$C$79:$H$79</c:f>
              <c:numCache>
                <c:formatCode>General</c:formatCode>
                <c:ptCount val="6"/>
                <c:pt idx="0">
                  <c:v>34</c:v>
                </c:pt>
                <c:pt idx="1">
                  <c:v>42</c:v>
                </c:pt>
                <c:pt idx="2">
                  <c:v>37</c:v>
                </c:pt>
                <c:pt idx="3">
                  <c:v>44</c:v>
                </c:pt>
                <c:pt idx="4">
                  <c:v>39</c:v>
                </c:pt>
                <c:pt idx="5">
                  <c:v>36</c:v>
                </c:pt>
              </c:numCache>
            </c:numRef>
          </c:val>
        </c:ser>
        <c:ser>
          <c:idx val="5"/>
          <c:order val="5"/>
          <c:tx>
            <c:strRef>
              <c:f>作成用データ!$B$80</c:f>
              <c:strCache>
                <c:ptCount val="1"/>
                <c:pt idx="0">
                  <c:v>Ｙ</c:v>
                </c:pt>
              </c:strCache>
            </c:strRef>
          </c:tx>
          <c:spPr>
            <a:ln w="12700">
              <a:solidFill>
                <a:srgbClr val="8000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cat>
            <c:strRef>
              <c:f>作成用データ!$C$74:$H$74</c:f>
              <c:strCache>
                <c:ptCount val="6"/>
                <c:pt idx="0">
                  <c:v>緊張－不安</c:v>
                </c:pt>
                <c:pt idx="1">
                  <c:v>抑うつー落込み</c:v>
                </c:pt>
                <c:pt idx="2">
                  <c:v>怒り―敵意</c:v>
                </c:pt>
                <c:pt idx="3">
                  <c:v>活気</c:v>
                </c:pt>
                <c:pt idx="4">
                  <c:v>疲労</c:v>
                </c:pt>
                <c:pt idx="5">
                  <c:v>混乱</c:v>
                </c:pt>
              </c:strCache>
            </c:strRef>
          </c:cat>
          <c:val>
            <c:numRef>
              <c:f>作成用データ!$C$80:$H$80</c:f>
              <c:numCache>
                <c:formatCode>General</c:formatCode>
                <c:ptCount val="6"/>
                <c:pt idx="0">
                  <c:v>33</c:v>
                </c:pt>
                <c:pt idx="1">
                  <c:v>45</c:v>
                </c:pt>
                <c:pt idx="2">
                  <c:v>37</c:v>
                </c:pt>
                <c:pt idx="3">
                  <c:v>66</c:v>
                </c:pt>
                <c:pt idx="4">
                  <c:v>40</c:v>
                </c:pt>
                <c:pt idx="5">
                  <c:v>39</c:v>
                </c:pt>
              </c:numCache>
            </c:numRef>
          </c:val>
        </c:ser>
        <c:ser>
          <c:idx val="6"/>
          <c:order val="6"/>
          <c:tx>
            <c:strRef>
              <c:f>作成用データ!$B$81</c:f>
              <c:strCache>
                <c:ptCount val="1"/>
                <c:pt idx="0">
                  <c:v>Ｕ</c:v>
                </c:pt>
              </c:strCache>
            </c:strRef>
          </c:tx>
          <c:spPr>
            <a:ln w="12700">
              <a:solidFill>
                <a:srgbClr val="008080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008080"/>
                </a:solidFill>
                <a:prstDash val="solid"/>
              </a:ln>
            </c:spPr>
          </c:marker>
          <c:cat>
            <c:strRef>
              <c:f>作成用データ!$C$74:$H$74</c:f>
              <c:strCache>
                <c:ptCount val="6"/>
                <c:pt idx="0">
                  <c:v>緊張－不安</c:v>
                </c:pt>
                <c:pt idx="1">
                  <c:v>抑うつー落込み</c:v>
                </c:pt>
                <c:pt idx="2">
                  <c:v>怒り―敵意</c:v>
                </c:pt>
                <c:pt idx="3">
                  <c:v>活気</c:v>
                </c:pt>
                <c:pt idx="4">
                  <c:v>疲労</c:v>
                </c:pt>
                <c:pt idx="5">
                  <c:v>混乱</c:v>
                </c:pt>
              </c:strCache>
            </c:strRef>
          </c:cat>
          <c:val>
            <c:numRef>
              <c:f>作成用データ!$C$81:$H$81</c:f>
              <c:numCache>
                <c:formatCode>General</c:formatCode>
                <c:ptCount val="6"/>
                <c:pt idx="0">
                  <c:v>33</c:v>
                </c:pt>
                <c:pt idx="1">
                  <c:v>40</c:v>
                </c:pt>
                <c:pt idx="2">
                  <c:v>37</c:v>
                </c:pt>
                <c:pt idx="3">
                  <c:v>42</c:v>
                </c:pt>
                <c:pt idx="4">
                  <c:v>36</c:v>
                </c:pt>
                <c:pt idx="5">
                  <c:v>42</c:v>
                </c:pt>
              </c:numCache>
            </c:numRef>
          </c:val>
        </c:ser>
        <c:ser>
          <c:idx val="7"/>
          <c:order val="7"/>
          <c:tx>
            <c:strRef>
              <c:f>作成用データ!$B$82</c:f>
              <c:strCache>
                <c:ptCount val="1"/>
                <c:pt idx="0">
                  <c:v>Ｆ</c:v>
                </c:pt>
              </c:strCache>
            </c:strRef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0000FF"/>
                </a:solidFill>
                <a:prstDash val="solid"/>
              </a:ln>
            </c:spPr>
          </c:marker>
          <c:cat>
            <c:strRef>
              <c:f>作成用データ!$C$74:$H$74</c:f>
              <c:strCache>
                <c:ptCount val="6"/>
                <c:pt idx="0">
                  <c:v>緊張－不安</c:v>
                </c:pt>
                <c:pt idx="1">
                  <c:v>抑うつー落込み</c:v>
                </c:pt>
                <c:pt idx="2">
                  <c:v>怒り―敵意</c:v>
                </c:pt>
                <c:pt idx="3">
                  <c:v>活気</c:v>
                </c:pt>
                <c:pt idx="4">
                  <c:v>疲労</c:v>
                </c:pt>
                <c:pt idx="5">
                  <c:v>混乱</c:v>
                </c:pt>
              </c:strCache>
            </c:strRef>
          </c:cat>
          <c:val>
            <c:numRef>
              <c:f>作成用データ!$C$82:$H$82</c:f>
              <c:numCache>
                <c:formatCode>General</c:formatCode>
                <c:ptCount val="6"/>
                <c:pt idx="0">
                  <c:v>34</c:v>
                </c:pt>
                <c:pt idx="1">
                  <c:v>39</c:v>
                </c:pt>
                <c:pt idx="2">
                  <c:v>37</c:v>
                </c:pt>
                <c:pt idx="3">
                  <c:v>58</c:v>
                </c:pt>
                <c:pt idx="4">
                  <c:v>37</c:v>
                </c:pt>
                <c:pt idx="5">
                  <c:v>42</c:v>
                </c:pt>
              </c:numCache>
            </c:numRef>
          </c:val>
        </c:ser>
        <c:marker val="1"/>
        <c:axId val="52950912"/>
        <c:axId val="52985856"/>
      </c:lineChart>
      <c:catAx>
        <c:axId val="52950912"/>
        <c:scaling>
          <c:orientation val="minMax"/>
        </c:scaling>
        <c:axPos val="b"/>
        <c:numFmt formatCode="General" sourceLinked="1"/>
        <c:majorTickMark val="in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52985856"/>
        <c:crosses val="autoZero"/>
        <c:auto val="1"/>
        <c:lblAlgn val="ctr"/>
        <c:lblOffset val="100"/>
        <c:tickLblSkip val="1"/>
        <c:tickMarkSkip val="1"/>
      </c:catAx>
      <c:valAx>
        <c:axId val="52985856"/>
        <c:scaling>
          <c:orientation val="minMax"/>
        </c:scaling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in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5295091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0186915887850472"/>
          <c:y val="0.16343490304709141"/>
          <c:w val="8.566978193146417E-2"/>
          <c:h val="0.44598337950138506"/>
        </c:manualLayout>
      </c:layout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1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  <a:cs typeface="ＭＳ Ｐゴシック"/>
            </a:defRPr>
          </a:pPr>
          <a:endParaRPr lang="ja-JP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ＭＳ Ｐゴシック"/>
          <a:ea typeface="ＭＳ Ｐゴシック"/>
          <a:cs typeface="ＭＳ Ｐゴシック"/>
        </a:defRPr>
      </a:pPr>
      <a:endParaRPr lang="ja-JP"/>
    </a:p>
  </c:txPr>
  <c:printSettings>
    <c:headerFooter alignWithMargins="0"/>
    <c:pageMargins b="0.98399999999999999" l="0.78700000000000003" r="0.78700000000000003" t="0.98399999999999999" header="0.51200000000000001" footer="0.5120000000000000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12</xdr:row>
      <xdr:rowOff>0</xdr:rowOff>
    </xdr:from>
    <xdr:to>
      <xdr:col>6</xdr:col>
      <xdr:colOff>628650</xdr:colOff>
      <xdr:row>28</xdr:row>
      <xdr:rowOff>161925</xdr:rowOff>
    </xdr:to>
    <xdr:graphicFrame macro="">
      <xdr:nvGraphicFramePr>
        <xdr:cNvPr id="2049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9</xdr:col>
      <xdr:colOff>0</xdr:colOff>
      <xdr:row>18</xdr:row>
      <xdr:rowOff>9525</xdr:rowOff>
    </xdr:to>
    <xdr:graphicFrame macro="">
      <xdr:nvGraphicFramePr>
        <xdr:cNvPr id="102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25</xdr:row>
      <xdr:rowOff>9525</xdr:rowOff>
    </xdr:from>
    <xdr:to>
      <xdr:col>9</xdr:col>
      <xdr:colOff>0</xdr:colOff>
      <xdr:row>42</xdr:row>
      <xdr:rowOff>0</xdr:rowOff>
    </xdr:to>
    <xdr:graphicFrame macro="">
      <xdr:nvGraphicFramePr>
        <xdr:cNvPr id="1026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19</xdr:row>
      <xdr:rowOff>0</xdr:rowOff>
    </xdr:from>
    <xdr:to>
      <xdr:col>8</xdr:col>
      <xdr:colOff>123825</xdr:colOff>
      <xdr:row>34</xdr:row>
      <xdr:rowOff>133350</xdr:rowOff>
    </xdr:to>
    <xdr:graphicFrame macro="">
      <xdr:nvGraphicFramePr>
        <xdr:cNvPr id="614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200025</xdr:colOff>
      <xdr:row>19</xdr:row>
      <xdr:rowOff>0</xdr:rowOff>
    </xdr:from>
    <xdr:to>
      <xdr:col>15</xdr:col>
      <xdr:colOff>638175</xdr:colOff>
      <xdr:row>34</xdr:row>
      <xdr:rowOff>133350</xdr:rowOff>
    </xdr:to>
    <xdr:graphicFrame macro="">
      <xdr:nvGraphicFramePr>
        <xdr:cNvPr id="6146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93</xdr:row>
      <xdr:rowOff>28575</xdr:rowOff>
    </xdr:from>
    <xdr:to>
      <xdr:col>7</xdr:col>
      <xdr:colOff>523875</xdr:colOff>
      <xdr:row>111</xdr:row>
      <xdr:rowOff>133350</xdr:rowOff>
    </xdr:to>
    <xdr:graphicFrame macro="">
      <xdr:nvGraphicFramePr>
        <xdr:cNvPr id="9217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28575</xdr:colOff>
      <xdr:row>120</xdr:row>
      <xdr:rowOff>28575</xdr:rowOff>
    </xdr:from>
    <xdr:to>
      <xdr:col>7</xdr:col>
      <xdr:colOff>466725</xdr:colOff>
      <xdr:row>140</xdr:row>
      <xdr:rowOff>38100</xdr:rowOff>
    </xdr:to>
    <xdr:graphicFrame macro="">
      <xdr:nvGraphicFramePr>
        <xdr:cNvPr id="9218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144</xdr:row>
      <xdr:rowOff>19050</xdr:rowOff>
    </xdr:from>
    <xdr:to>
      <xdr:col>7</xdr:col>
      <xdr:colOff>457200</xdr:colOff>
      <xdr:row>164</xdr:row>
      <xdr:rowOff>28575</xdr:rowOff>
    </xdr:to>
    <xdr:graphicFrame macro="">
      <xdr:nvGraphicFramePr>
        <xdr:cNvPr id="9219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21"/>
  <sheetViews>
    <sheetView workbookViewId="0">
      <selection activeCell="C20" sqref="C20"/>
    </sheetView>
  </sheetViews>
  <sheetFormatPr defaultRowHeight="13.5"/>
  <cols>
    <col min="1" max="1" width="6.25" customWidth="1"/>
    <col min="17" max="17" width="10.5" bestFit="1" customWidth="1"/>
  </cols>
  <sheetData>
    <row r="1" spans="1:17" ht="14.25" thickBot="1">
      <c r="A1" s="24" t="s">
        <v>20</v>
      </c>
      <c r="B1" s="8" t="s">
        <v>19</v>
      </c>
      <c r="C1" s="3" t="s">
        <v>2</v>
      </c>
      <c r="D1" s="4"/>
      <c r="E1" s="9" t="s">
        <v>3</v>
      </c>
      <c r="F1" s="10"/>
      <c r="G1" s="8" t="s">
        <v>4</v>
      </c>
      <c r="H1" s="4"/>
      <c r="I1" s="10" t="s">
        <v>5</v>
      </c>
      <c r="J1" s="4"/>
      <c r="K1" s="10" t="s">
        <v>6</v>
      </c>
      <c r="L1" s="10"/>
      <c r="M1" s="8" t="s">
        <v>7</v>
      </c>
      <c r="N1" s="4"/>
      <c r="O1" s="8" t="s">
        <v>10</v>
      </c>
      <c r="P1" s="4"/>
    </row>
    <row r="2" spans="1:17" ht="14.25" thickBot="1">
      <c r="A2" s="22"/>
      <c r="B2" s="8"/>
      <c r="C2" s="25" t="s">
        <v>0</v>
      </c>
      <c r="D2" s="26" t="s">
        <v>1</v>
      </c>
      <c r="E2" s="27" t="s">
        <v>0</v>
      </c>
      <c r="F2" s="27" t="s">
        <v>1</v>
      </c>
      <c r="G2" s="25" t="s">
        <v>0</v>
      </c>
      <c r="H2" s="26" t="s">
        <v>1</v>
      </c>
      <c r="I2" s="27" t="s">
        <v>0</v>
      </c>
      <c r="J2" s="26" t="s">
        <v>1</v>
      </c>
      <c r="K2" s="27" t="s">
        <v>0</v>
      </c>
      <c r="L2" s="27" t="s">
        <v>1</v>
      </c>
      <c r="M2" s="25" t="s">
        <v>0</v>
      </c>
      <c r="N2" s="26" t="s">
        <v>1</v>
      </c>
      <c r="O2" s="25" t="s">
        <v>21</v>
      </c>
      <c r="P2" s="26" t="s">
        <v>22</v>
      </c>
    </row>
    <row r="3" spans="1:17">
      <c r="A3" s="22"/>
      <c r="B3" s="5"/>
      <c r="C3" s="5"/>
      <c r="D3" s="6"/>
      <c r="E3" s="11"/>
      <c r="F3" s="11"/>
      <c r="G3" s="5"/>
      <c r="H3" s="6"/>
      <c r="I3" s="11"/>
      <c r="J3" s="6"/>
      <c r="K3" s="11"/>
      <c r="L3" s="11"/>
      <c r="M3" s="5"/>
      <c r="N3" s="6"/>
      <c r="O3" s="5"/>
      <c r="P3" s="6"/>
    </row>
    <row r="4" spans="1:17">
      <c r="A4" s="22">
        <v>55</v>
      </c>
      <c r="B4" s="5" t="s">
        <v>8</v>
      </c>
      <c r="C4" s="12">
        <v>48</v>
      </c>
      <c r="D4" s="13">
        <v>41</v>
      </c>
      <c r="E4" s="14">
        <v>61</v>
      </c>
      <c r="F4" s="15">
        <v>49</v>
      </c>
      <c r="G4" s="12">
        <v>48</v>
      </c>
      <c r="H4" s="13">
        <v>40</v>
      </c>
      <c r="I4" s="14">
        <v>32</v>
      </c>
      <c r="J4" s="13">
        <v>34</v>
      </c>
      <c r="K4" s="14">
        <v>59</v>
      </c>
      <c r="L4" s="15">
        <v>49</v>
      </c>
      <c r="M4" s="12">
        <v>45</v>
      </c>
      <c r="N4" s="13">
        <v>36</v>
      </c>
      <c r="O4" s="12">
        <v>34</v>
      </c>
      <c r="P4" s="13">
        <v>14</v>
      </c>
      <c r="Q4" s="1">
        <v>39882</v>
      </c>
    </row>
    <row r="5" spans="1:17">
      <c r="A5" s="22">
        <v>40</v>
      </c>
      <c r="B5" s="5" t="s">
        <v>9</v>
      </c>
      <c r="C5" s="12">
        <v>36</v>
      </c>
      <c r="D5" s="13">
        <v>34</v>
      </c>
      <c r="E5" s="14">
        <v>39</v>
      </c>
      <c r="F5" s="15">
        <v>39</v>
      </c>
      <c r="G5" s="12">
        <v>37</v>
      </c>
      <c r="H5" s="13">
        <v>37</v>
      </c>
      <c r="I5" s="14">
        <v>39</v>
      </c>
      <c r="J5" s="13">
        <v>58</v>
      </c>
      <c r="K5" s="14">
        <v>49</v>
      </c>
      <c r="L5" s="15">
        <v>35</v>
      </c>
      <c r="M5" s="12">
        <v>36</v>
      </c>
      <c r="N5" s="13">
        <v>36</v>
      </c>
      <c r="O5" s="12">
        <v>5</v>
      </c>
      <c r="P5" s="13">
        <v>-11</v>
      </c>
    </row>
    <row r="6" spans="1:17">
      <c r="A6" s="22">
        <v>33</v>
      </c>
      <c r="B6" s="5" t="s">
        <v>11</v>
      </c>
      <c r="C6" s="12">
        <v>34</v>
      </c>
      <c r="D6" s="13">
        <v>34</v>
      </c>
      <c r="E6" s="14">
        <v>39</v>
      </c>
      <c r="F6" s="15">
        <v>39</v>
      </c>
      <c r="G6" s="12">
        <v>37</v>
      </c>
      <c r="H6" s="13">
        <v>37</v>
      </c>
      <c r="I6" s="14">
        <v>62</v>
      </c>
      <c r="J6" s="13">
        <v>37</v>
      </c>
      <c r="K6" s="14">
        <v>35</v>
      </c>
      <c r="L6" s="15">
        <v>45</v>
      </c>
      <c r="M6" s="12">
        <v>45</v>
      </c>
      <c r="N6" s="13">
        <v>36</v>
      </c>
      <c r="O6" s="12">
        <v>-10</v>
      </c>
      <c r="P6" s="13">
        <v>3</v>
      </c>
    </row>
    <row r="7" spans="1:17">
      <c r="A7" s="22">
        <v>55</v>
      </c>
      <c r="B7" s="5" t="s">
        <v>12</v>
      </c>
      <c r="C7" s="12">
        <v>55</v>
      </c>
      <c r="D7" s="13">
        <v>35</v>
      </c>
      <c r="E7" s="14">
        <v>53</v>
      </c>
      <c r="F7" s="15">
        <v>40</v>
      </c>
      <c r="G7" s="12">
        <v>48</v>
      </c>
      <c r="H7" s="13">
        <v>37</v>
      </c>
      <c r="I7" s="14">
        <v>35</v>
      </c>
      <c r="J7" s="13">
        <v>42</v>
      </c>
      <c r="K7" s="14">
        <v>48</v>
      </c>
      <c r="L7" s="15">
        <v>40</v>
      </c>
      <c r="M7" s="12">
        <v>51</v>
      </c>
      <c r="N7" s="13">
        <v>42</v>
      </c>
      <c r="O7" s="12">
        <v>27</v>
      </c>
      <c r="P7" s="13">
        <v>0</v>
      </c>
    </row>
    <row r="8" spans="1:17">
      <c r="A8" s="22">
        <v>30</v>
      </c>
      <c r="B8" s="5" t="s">
        <v>13</v>
      </c>
      <c r="C8" s="12">
        <v>39</v>
      </c>
      <c r="D8" s="13">
        <v>34</v>
      </c>
      <c r="E8" s="14">
        <v>42</v>
      </c>
      <c r="F8" s="15">
        <v>39</v>
      </c>
      <c r="G8" s="12">
        <v>37</v>
      </c>
      <c r="H8" s="13">
        <v>37</v>
      </c>
      <c r="I8" s="14">
        <v>51</v>
      </c>
      <c r="J8" s="13">
        <v>39</v>
      </c>
      <c r="K8" s="14">
        <v>37</v>
      </c>
      <c r="L8" s="15">
        <v>33</v>
      </c>
      <c r="M8" s="12">
        <v>39</v>
      </c>
      <c r="N8" s="13">
        <v>42</v>
      </c>
      <c r="O8" s="12">
        <v>-3</v>
      </c>
      <c r="P8" s="13">
        <v>-1</v>
      </c>
    </row>
    <row r="9" spans="1:17">
      <c r="A9" s="22">
        <v>49</v>
      </c>
      <c r="B9" s="5" t="s">
        <v>14</v>
      </c>
      <c r="C9" s="12">
        <v>41</v>
      </c>
      <c r="D9" s="13">
        <v>34</v>
      </c>
      <c r="E9" s="14">
        <v>44</v>
      </c>
      <c r="F9" s="15">
        <v>42</v>
      </c>
      <c r="G9" s="12">
        <v>37</v>
      </c>
      <c r="H9" s="13">
        <v>37</v>
      </c>
      <c r="I9" s="14">
        <v>41</v>
      </c>
      <c r="J9" s="13">
        <v>44</v>
      </c>
      <c r="K9" s="14">
        <v>45</v>
      </c>
      <c r="L9" s="15">
        <v>39</v>
      </c>
      <c r="M9" s="12">
        <v>42</v>
      </c>
      <c r="N9" s="13">
        <v>36</v>
      </c>
      <c r="O9" s="12">
        <v>8</v>
      </c>
      <c r="P9" s="13">
        <v>-2</v>
      </c>
    </row>
    <row r="10" spans="1:17">
      <c r="A10" s="22">
        <v>35</v>
      </c>
      <c r="B10" s="5" t="s">
        <v>15</v>
      </c>
      <c r="C10" s="12">
        <v>35</v>
      </c>
      <c r="D10" s="13">
        <v>33</v>
      </c>
      <c r="E10" s="14">
        <v>50</v>
      </c>
      <c r="F10" s="15">
        <v>45</v>
      </c>
      <c r="G10" s="12">
        <v>37</v>
      </c>
      <c r="H10" s="13">
        <v>37</v>
      </c>
      <c r="I10" s="14">
        <v>61</v>
      </c>
      <c r="J10" s="13">
        <v>66</v>
      </c>
      <c r="K10" s="14">
        <v>44</v>
      </c>
      <c r="L10" s="15">
        <v>40</v>
      </c>
      <c r="M10" s="12">
        <v>45</v>
      </c>
      <c r="N10" s="13">
        <v>39</v>
      </c>
      <c r="O10" s="12">
        <v>-1</v>
      </c>
      <c r="P10" s="13">
        <v>-10</v>
      </c>
    </row>
    <row r="11" spans="1:17">
      <c r="A11" s="22">
        <v>27</v>
      </c>
      <c r="B11" s="5" t="s">
        <v>16</v>
      </c>
      <c r="C11" s="12">
        <v>35</v>
      </c>
      <c r="D11" s="13">
        <v>33</v>
      </c>
      <c r="E11" s="14">
        <v>40</v>
      </c>
      <c r="F11" s="15">
        <v>40</v>
      </c>
      <c r="G11" s="12">
        <v>37</v>
      </c>
      <c r="H11" s="13">
        <v>37</v>
      </c>
      <c r="I11" s="14">
        <v>37</v>
      </c>
      <c r="J11" s="13">
        <v>42</v>
      </c>
      <c r="K11" s="14">
        <v>48</v>
      </c>
      <c r="L11" s="15">
        <v>36</v>
      </c>
      <c r="M11" s="12">
        <v>48</v>
      </c>
      <c r="N11" s="13">
        <v>42</v>
      </c>
      <c r="O11" s="12">
        <v>8</v>
      </c>
      <c r="P11" s="13">
        <v>-3</v>
      </c>
    </row>
    <row r="12" spans="1:17" ht="14.25" thickBot="1">
      <c r="A12" s="22">
        <v>42</v>
      </c>
      <c r="B12" s="7" t="s">
        <v>17</v>
      </c>
      <c r="C12" s="16">
        <v>48</v>
      </c>
      <c r="D12" s="17">
        <v>34</v>
      </c>
      <c r="E12" s="18">
        <v>51</v>
      </c>
      <c r="F12" s="19">
        <v>39</v>
      </c>
      <c r="G12" s="16">
        <v>37</v>
      </c>
      <c r="H12" s="17">
        <v>37</v>
      </c>
      <c r="I12" s="18">
        <v>53</v>
      </c>
      <c r="J12" s="17">
        <v>58</v>
      </c>
      <c r="K12" s="18">
        <v>47</v>
      </c>
      <c r="L12" s="19">
        <v>37</v>
      </c>
      <c r="M12" s="16">
        <v>51</v>
      </c>
      <c r="N12" s="17">
        <v>42</v>
      </c>
      <c r="O12" s="16">
        <v>13</v>
      </c>
      <c r="P12" s="17">
        <v>-8</v>
      </c>
    </row>
    <row r="13" spans="1:17">
      <c r="A13" s="22"/>
      <c r="B13" s="5"/>
      <c r="C13" s="12">
        <f t="shared" ref="C13:N13" si="0">SUM(C4:C12)</f>
        <v>371</v>
      </c>
      <c r="D13" s="13">
        <f t="shared" si="0"/>
        <v>312</v>
      </c>
      <c r="E13" s="14">
        <f t="shared" si="0"/>
        <v>419</v>
      </c>
      <c r="F13" s="15">
        <f t="shared" si="0"/>
        <v>372</v>
      </c>
      <c r="G13" s="12">
        <f t="shared" si="0"/>
        <v>355</v>
      </c>
      <c r="H13" s="13">
        <f t="shared" si="0"/>
        <v>336</v>
      </c>
      <c r="I13" s="14">
        <f t="shared" si="0"/>
        <v>411</v>
      </c>
      <c r="J13" s="13">
        <f t="shared" si="0"/>
        <v>420</v>
      </c>
      <c r="K13" s="14">
        <f t="shared" si="0"/>
        <v>412</v>
      </c>
      <c r="L13" s="15">
        <f t="shared" si="0"/>
        <v>354</v>
      </c>
      <c r="M13" s="12">
        <f t="shared" si="0"/>
        <v>402</v>
      </c>
      <c r="N13" s="13">
        <f t="shared" si="0"/>
        <v>351</v>
      </c>
      <c r="O13" s="12">
        <v>81</v>
      </c>
      <c r="P13" s="13">
        <v>-18</v>
      </c>
    </row>
    <row r="14" spans="1:17">
      <c r="A14" s="22"/>
      <c r="B14" s="5"/>
      <c r="C14" s="12">
        <v>41.22</v>
      </c>
      <c r="D14" s="13">
        <v>34.67</v>
      </c>
      <c r="E14" s="20">
        <v>46.56</v>
      </c>
      <c r="F14" s="15">
        <v>41.332999999999998</v>
      </c>
      <c r="G14" s="12">
        <v>39.44</v>
      </c>
      <c r="H14" s="13">
        <v>37.33</v>
      </c>
      <c r="I14" s="20">
        <v>45.67</v>
      </c>
      <c r="J14" s="13">
        <v>46.67</v>
      </c>
      <c r="K14" s="20">
        <v>45.78</v>
      </c>
      <c r="L14" s="15">
        <v>39.33</v>
      </c>
      <c r="M14" s="12">
        <v>44.67</v>
      </c>
      <c r="N14" s="13">
        <v>39</v>
      </c>
      <c r="O14" s="12">
        <v>9</v>
      </c>
      <c r="P14" s="13">
        <v>-2</v>
      </c>
    </row>
    <row r="15" spans="1:17" ht="14.25" thickBot="1">
      <c r="A15" s="23"/>
      <c r="B15" s="7"/>
      <c r="C15" s="16"/>
      <c r="D15" s="17"/>
      <c r="E15" s="18"/>
      <c r="F15" s="19"/>
      <c r="G15" s="16"/>
      <c r="H15" s="17"/>
      <c r="I15" s="18" t="s">
        <v>18</v>
      </c>
      <c r="J15" s="21" t="s">
        <v>18</v>
      </c>
      <c r="K15" s="18"/>
      <c r="L15" s="19"/>
      <c r="M15" s="16"/>
      <c r="N15" s="21"/>
      <c r="O15" s="16"/>
      <c r="P15" s="21"/>
    </row>
    <row r="16" spans="1:17">
      <c r="D16" s="2">
        <f>C14-D14</f>
        <v>6.5499999999999972</v>
      </c>
      <c r="F16" s="2">
        <f>E14-F14</f>
        <v>5.2270000000000039</v>
      </c>
      <c r="H16" s="2">
        <f>G14-H14</f>
        <v>2.1099999999999994</v>
      </c>
      <c r="I16" s="2"/>
      <c r="J16" s="2">
        <f>I14-J14</f>
        <v>-1</v>
      </c>
      <c r="L16">
        <f>K14-L14</f>
        <v>6.4500000000000028</v>
      </c>
      <c r="N16">
        <f>M14-N14</f>
        <v>5.6700000000000017</v>
      </c>
      <c r="P16">
        <f>O14-P14</f>
        <v>11</v>
      </c>
    </row>
    <row r="17" spans="4:10">
      <c r="D17" s="2"/>
      <c r="H17" s="2"/>
      <c r="I17" s="2"/>
      <c r="J17" s="2"/>
    </row>
    <row r="18" spans="4:10">
      <c r="D18" s="2"/>
      <c r="H18" s="2"/>
      <c r="I18" s="2"/>
      <c r="J18" s="2"/>
    </row>
    <row r="19" spans="4:10">
      <c r="D19" s="2"/>
    </row>
    <row r="20" spans="4:10">
      <c r="D20" s="2"/>
    </row>
    <row r="21" spans="4:10">
      <c r="D21" s="2"/>
    </row>
  </sheetData>
  <phoneticPr fontId="2"/>
  <pageMargins left="0.25" right="0.25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2"/>
  <sheetViews>
    <sheetView tabSelected="1" workbookViewId="0">
      <selection activeCell="J8" sqref="J8"/>
    </sheetView>
  </sheetViews>
  <sheetFormatPr defaultRowHeight="13.5"/>
  <cols>
    <col min="1" max="2" width="12.5" customWidth="1"/>
    <col min="3" max="3" width="15" customWidth="1"/>
    <col min="4" max="4" width="12.5" customWidth="1"/>
    <col min="5" max="7" width="10.25" customWidth="1"/>
  </cols>
  <sheetData>
    <row r="1" spans="1:7" ht="37.5" customHeight="1">
      <c r="A1" s="28" t="s">
        <v>57</v>
      </c>
    </row>
    <row r="2" spans="1:7" ht="30" customHeight="1" thickBot="1">
      <c r="A2" s="66" t="s">
        <v>50</v>
      </c>
      <c r="B2" s="66" t="s">
        <v>35</v>
      </c>
      <c r="C2" s="66" t="s">
        <v>37</v>
      </c>
      <c r="D2" s="66" t="s">
        <v>36</v>
      </c>
      <c r="E2" s="66" t="s">
        <v>38</v>
      </c>
      <c r="F2" s="66" t="s">
        <v>39</v>
      </c>
      <c r="G2" s="66" t="s">
        <v>40</v>
      </c>
    </row>
    <row r="3" spans="1:7" ht="26.25" customHeight="1" thickTop="1">
      <c r="A3" s="64" t="s">
        <v>42</v>
      </c>
      <c r="B3" s="64">
        <v>41.2</v>
      </c>
      <c r="C3" s="75">
        <v>46.5</v>
      </c>
      <c r="D3" s="64">
        <v>39.4</v>
      </c>
      <c r="E3" s="75">
        <v>45.6</v>
      </c>
      <c r="F3" s="75">
        <v>45.7</v>
      </c>
      <c r="G3" s="64">
        <v>44.6</v>
      </c>
    </row>
    <row r="4" spans="1:7" ht="26.25" customHeight="1">
      <c r="A4" s="64" t="s">
        <v>51</v>
      </c>
      <c r="B4" s="34">
        <v>34.6</v>
      </c>
      <c r="C4" s="34">
        <v>41.3</v>
      </c>
      <c r="D4" s="34">
        <v>37.299999999999997</v>
      </c>
      <c r="E4" s="34">
        <v>46.6</v>
      </c>
      <c r="F4" s="34">
        <v>39.299999999999997</v>
      </c>
      <c r="G4" s="34">
        <v>39</v>
      </c>
    </row>
    <row r="5" spans="1:7" ht="13.5" customHeight="1"/>
    <row r="6" spans="1:7" ht="13.5" customHeight="1"/>
    <row r="7" spans="1:7" ht="13.5" customHeight="1"/>
    <row r="8" spans="1:7" ht="13.5" customHeight="1"/>
    <row r="9" spans="1:7" ht="13.5" customHeight="1"/>
    <row r="12" spans="1:7" ht="37.5" customHeight="1">
      <c r="A12" s="28" t="s">
        <v>58</v>
      </c>
    </row>
  </sheetData>
  <phoneticPr fontId="2"/>
  <pageMargins left="0.99" right="0.73" top="0.98399999999999999" bottom="0.98399999999999999" header="0.51200000000000001" footer="0.51200000000000001"/>
  <pageSetup paperSize="9" orientation="portrait" verticalDpi="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5"/>
  <sheetViews>
    <sheetView workbookViewId="0">
      <selection activeCell="L3" sqref="L3"/>
    </sheetView>
  </sheetViews>
  <sheetFormatPr defaultRowHeight="13.5"/>
  <sheetData>
    <row r="1" spans="1:1" ht="37.5" customHeight="1">
      <c r="A1" s="28" t="s">
        <v>59</v>
      </c>
    </row>
    <row r="25" spans="1:1" ht="37.5" customHeight="1">
      <c r="A25" s="28" t="s">
        <v>60</v>
      </c>
    </row>
  </sheetData>
  <phoneticPr fontId="2"/>
  <pageMargins left="1" right="0.79" top="0.98399999999999999" bottom="0.98399999999999999" header="0.51200000000000001" footer="0.51200000000000001"/>
  <pageSetup paperSize="9" orientation="portrait" verticalDpi="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Q19"/>
  <sheetViews>
    <sheetView topLeftCell="A10" workbookViewId="0">
      <selection activeCell="J40" sqref="J40"/>
    </sheetView>
  </sheetViews>
  <sheetFormatPr defaultRowHeight="13.5"/>
  <cols>
    <col min="1" max="1" width="6.875" customWidth="1"/>
    <col min="3" max="16" width="8.625" customWidth="1"/>
    <col min="17" max="17" width="10" customWidth="1"/>
  </cols>
  <sheetData>
    <row r="1" spans="1:17" ht="30" customHeight="1">
      <c r="A1" s="28" t="s">
        <v>46</v>
      </c>
    </row>
    <row r="2" spans="1:17" ht="18.75" customHeight="1" thickBot="1">
      <c r="A2" s="58" t="s">
        <v>20</v>
      </c>
      <c r="B2" s="58" t="s">
        <v>19</v>
      </c>
      <c r="C2" s="68" t="s">
        <v>32</v>
      </c>
      <c r="D2" s="69"/>
      <c r="E2" s="68" t="s">
        <v>3</v>
      </c>
      <c r="F2" s="69"/>
      <c r="G2" s="69" t="s">
        <v>33</v>
      </c>
      <c r="H2" s="69"/>
      <c r="I2" s="69" t="s">
        <v>5</v>
      </c>
      <c r="J2" s="69"/>
      <c r="K2" s="69" t="s">
        <v>6</v>
      </c>
      <c r="L2" s="69"/>
      <c r="M2" s="69" t="s">
        <v>7</v>
      </c>
      <c r="N2" s="69"/>
      <c r="O2" s="69" t="s">
        <v>34</v>
      </c>
      <c r="P2" s="69"/>
    </row>
    <row r="3" spans="1:17">
      <c r="A3" s="45"/>
      <c r="B3" s="45"/>
      <c r="C3" s="64" t="s">
        <v>0</v>
      </c>
      <c r="D3" s="64" t="s">
        <v>1</v>
      </c>
      <c r="E3" s="64" t="s">
        <v>0</v>
      </c>
      <c r="F3" s="64" t="s">
        <v>1</v>
      </c>
      <c r="G3" s="64" t="s">
        <v>0</v>
      </c>
      <c r="H3" s="64" t="s">
        <v>1</v>
      </c>
      <c r="I3" s="64" t="s">
        <v>0</v>
      </c>
      <c r="J3" s="64" t="s">
        <v>1</v>
      </c>
      <c r="K3" s="64" t="s">
        <v>0</v>
      </c>
      <c r="L3" s="64" t="s">
        <v>1</v>
      </c>
      <c r="M3" s="64" t="s">
        <v>0</v>
      </c>
      <c r="N3" s="64" t="s">
        <v>1</v>
      </c>
      <c r="O3" s="64" t="s">
        <v>21</v>
      </c>
      <c r="P3" s="64" t="s">
        <v>22</v>
      </c>
    </row>
    <row r="4" spans="1:17">
      <c r="A4" s="37"/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</row>
    <row r="5" spans="1:17">
      <c r="A5" s="35">
        <v>55</v>
      </c>
      <c r="B5" s="35" t="s">
        <v>23</v>
      </c>
      <c r="C5" s="35">
        <v>48</v>
      </c>
      <c r="D5" s="38">
        <v>41</v>
      </c>
      <c r="E5" s="35">
        <v>61</v>
      </c>
      <c r="F5" s="38">
        <v>49</v>
      </c>
      <c r="G5" s="35">
        <v>48</v>
      </c>
      <c r="H5" s="38">
        <v>40</v>
      </c>
      <c r="I5" s="35">
        <v>32</v>
      </c>
      <c r="J5" s="38">
        <v>34</v>
      </c>
      <c r="K5" s="35">
        <v>59</v>
      </c>
      <c r="L5" s="38">
        <v>49</v>
      </c>
      <c r="M5" s="35">
        <v>45</v>
      </c>
      <c r="N5" s="38">
        <v>36</v>
      </c>
      <c r="O5" s="35">
        <v>34</v>
      </c>
      <c r="P5" s="38">
        <v>14</v>
      </c>
      <c r="Q5" s="1">
        <v>39882</v>
      </c>
    </row>
    <row r="6" spans="1:17">
      <c r="A6" s="35">
        <v>40</v>
      </c>
      <c r="B6" s="35" t="s">
        <v>24</v>
      </c>
      <c r="C6" s="35">
        <v>36</v>
      </c>
      <c r="D6" s="38">
        <v>34</v>
      </c>
      <c r="E6" s="35">
        <v>39</v>
      </c>
      <c r="F6" s="38">
        <v>39</v>
      </c>
      <c r="G6" s="35">
        <v>37</v>
      </c>
      <c r="H6" s="38">
        <v>37</v>
      </c>
      <c r="I6" s="35">
        <v>39</v>
      </c>
      <c r="J6" s="38">
        <v>58</v>
      </c>
      <c r="K6" s="35">
        <v>49</v>
      </c>
      <c r="L6" s="38">
        <v>35</v>
      </c>
      <c r="M6" s="35">
        <v>36</v>
      </c>
      <c r="N6" s="38">
        <v>36</v>
      </c>
      <c r="O6" s="35">
        <v>5</v>
      </c>
      <c r="P6" s="38">
        <v>-11</v>
      </c>
    </row>
    <row r="7" spans="1:17">
      <c r="A7" s="35">
        <v>33</v>
      </c>
      <c r="B7" s="35" t="s">
        <v>25</v>
      </c>
      <c r="C7" s="35">
        <v>34</v>
      </c>
      <c r="D7" s="38">
        <v>34</v>
      </c>
      <c r="E7" s="35">
        <v>39</v>
      </c>
      <c r="F7" s="38">
        <v>39</v>
      </c>
      <c r="G7" s="35">
        <v>37</v>
      </c>
      <c r="H7" s="38">
        <v>37</v>
      </c>
      <c r="I7" s="35">
        <v>62</v>
      </c>
      <c r="J7" s="38">
        <v>37</v>
      </c>
      <c r="K7" s="35">
        <v>35</v>
      </c>
      <c r="L7" s="38">
        <v>45</v>
      </c>
      <c r="M7" s="35">
        <v>45</v>
      </c>
      <c r="N7" s="38">
        <v>36</v>
      </c>
      <c r="O7" s="35">
        <v>-10</v>
      </c>
      <c r="P7" s="38">
        <v>3</v>
      </c>
    </row>
    <row r="8" spans="1:17">
      <c r="A8" s="35">
        <v>55</v>
      </c>
      <c r="B8" s="35" t="s">
        <v>26</v>
      </c>
      <c r="C8" s="35">
        <v>55</v>
      </c>
      <c r="D8" s="38">
        <v>35</v>
      </c>
      <c r="E8" s="35">
        <v>53</v>
      </c>
      <c r="F8" s="38">
        <v>40</v>
      </c>
      <c r="G8" s="35">
        <v>48</v>
      </c>
      <c r="H8" s="38">
        <v>37</v>
      </c>
      <c r="I8" s="35">
        <v>35</v>
      </c>
      <c r="J8" s="38">
        <v>42</v>
      </c>
      <c r="K8" s="35">
        <v>48</v>
      </c>
      <c r="L8" s="38">
        <v>40</v>
      </c>
      <c r="M8" s="35">
        <v>51</v>
      </c>
      <c r="N8" s="38">
        <v>42</v>
      </c>
      <c r="O8" s="35">
        <v>27</v>
      </c>
      <c r="P8" s="38">
        <v>0</v>
      </c>
    </row>
    <row r="9" spans="1:17">
      <c r="A9" s="35">
        <v>30</v>
      </c>
      <c r="B9" s="35" t="s">
        <v>27</v>
      </c>
      <c r="C9" s="35">
        <v>39</v>
      </c>
      <c r="D9" s="38">
        <v>34</v>
      </c>
      <c r="E9" s="35">
        <v>42</v>
      </c>
      <c r="F9" s="38">
        <v>39</v>
      </c>
      <c r="G9" s="35">
        <v>37</v>
      </c>
      <c r="H9" s="38">
        <v>37</v>
      </c>
      <c r="I9" s="35">
        <v>51</v>
      </c>
      <c r="J9" s="38">
        <v>39</v>
      </c>
      <c r="K9" s="35">
        <v>37</v>
      </c>
      <c r="L9" s="38">
        <v>33</v>
      </c>
      <c r="M9" s="35">
        <v>39</v>
      </c>
      <c r="N9" s="38">
        <v>42</v>
      </c>
      <c r="O9" s="35">
        <v>-3</v>
      </c>
      <c r="P9" s="38">
        <v>-1</v>
      </c>
    </row>
    <row r="10" spans="1:17">
      <c r="A10" s="35">
        <v>49</v>
      </c>
      <c r="B10" s="35" t="s">
        <v>28</v>
      </c>
      <c r="C10" s="35">
        <v>41</v>
      </c>
      <c r="D10" s="38">
        <v>34</v>
      </c>
      <c r="E10" s="35">
        <v>44</v>
      </c>
      <c r="F10" s="38">
        <v>42</v>
      </c>
      <c r="G10" s="35">
        <v>37</v>
      </c>
      <c r="H10" s="38">
        <v>37</v>
      </c>
      <c r="I10" s="35">
        <v>41</v>
      </c>
      <c r="J10" s="38">
        <v>44</v>
      </c>
      <c r="K10" s="35">
        <v>45</v>
      </c>
      <c r="L10" s="38">
        <v>39</v>
      </c>
      <c r="M10" s="35">
        <v>42</v>
      </c>
      <c r="N10" s="38">
        <v>36</v>
      </c>
      <c r="O10" s="35">
        <v>8</v>
      </c>
      <c r="P10" s="38">
        <v>-2</v>
      </c>
    </row>
    <row r="11" spans="1:17">
      <c r="A11" s="35">
        <v>35</v>
      </c>
      <c r="B11" s="35" t="s">
        <v>29</v>
      </c>
      <c r="C11" s="35">
        <v>35</v>
      </c>
      <c r="D11" s="38">
        <v>33</v>
      </c>
      <c r="E11" s="35">
        <v>50</v>
      </c>
      <c r="F11" s="38">
        <v>45</v>
      </c>
      <c r="G11" s="35">
        <v>37</v>
      </c>
      <c r="H11" s="38">
        <v>37</v>
      </c>
      <c r="I11" s="35">
        <v>61</v>
      </c>
      <c r="J11" s="38">
        <v>66</v>
      </c>
      <c r="K11" s="35">
        <v>44</v>
      </c>
      <c r="L11" s="38">
        <v>40</v>
      </c>
      <c r="M11" s="35">
        <v>45</v>
      </c>
      <c r="N11" s="38">
        <v>39</v>
      </c>
      <c r="O11" s="35">
        <v>-1</v>
      </c>
      <c r="P11" s="38">
        <v>-10</v>
      </c>
    </row>
    <row r="12" spans="1:17">
      <c r="A12" s="35">
        <v>27</v>
      </c>
      <c r="B12" s="35" t="s">
        <v>31</v>
      </c>
      <c r="C12" s="35">
        <v>35</v>
      </c>
      <c r="D12" s="38">
        <v>33</v>
      </c>
      <c r="E12" s="35">
        <v>40</v>
      </c>
      <c r="F12" s="38">
        <v>40</v>
      </c>
      <c r="G12" s="35">
        <v>37</v>
      </c>
      <c r="H12" s="38">
        <v>37</v>
      </c>
      <c r="I12" s="35">
        <v>37</v>
      </c>
      <c r="J12" s="38">
        <v>42</v>
      </c>
      <c r="K12" s="35">
        <v>48</v>
      </c>
      <c r="L12" s="38">
        <v>36</v>
      </c>
      <c r="M12" s="35">
        <v>48</v>
      </c>
      <c r="N12" s="38">
        <v>42</v>
      </c>
      <c r="O12" s="35">
        <v>8</v>
      </c>
      <c r="P12" s="38">
        <v>-3</v>
      </c>
    </row>
    <row r="13" spans="1:17" ht="14.25" thickBot="1">
      <c r="A13" s="66">
        <v>42</v>
      </c>
      <c r="B13" s="66" t="s">
        <v>30</v>
      </c>
      <c r="C13" s="66">
        <v>48</v>
      </c>
      <c r="D13" s="67">
        <v>34</v>
      </c>
      <c r="E13" s="66">
        <v>51</v>
      </c>
      <c r="F13" s="67">
        <v>39</v>
      </c>
      <c r="G13" s="66">
        <v>37</v>
      </c>
      <c r="H13" s="67">
        <v>37</v>
      </c>
      <c r="I13" s="66">
        <v>53</v>
      </c>
      <c r="J13" s="67">
        <v>58</v>
      </c>
      <c r="K13" s="66">
        <v>47</v>
      </c>
      <c r="L13" s="67">
        <v>37</v>
      </c>
      <c r="M13" s="66">
        <v>51</v>
      </c>
      <c r="N13" s="67">
        <v>42</v>
      </c>
      <c r="O13" s="66">
        <v>13</v>
      </c>
      <c r="P13" s="67">
        <v>-8</v>
      </c>
    </row>
    <row r="14" spans="1:17" ht="17.25" customHeight="1" thickTop="1">
      <c r="A14" s="45"/>
      <c r="B14" s="64" t="s">
        <v>44</v>
      </c>
      <c r="C14" s="64">
        <f>SUM(C5:C13)</f>
        <v>371</v>
      </c>
      <c r="D14" s="65">
        <f t="shared" ref="D14:N14" si="0">SUM(D5:D13)</f>
        <v>312</v>
      </c>
      <c r="E14" s="64">
        <f t="shared" si="0"/>
        <v>419</v>
      </c>
      <c r="F14" s="65">
        <f t="shared" si="0"/>
        <v>372</v>
      </c>
      <c r="G14" s="64">
        <f t="shared" si="0"/>
        <v>355</v>
      </c>
      <c r="H14" s="65">
        <f t="shared" si="0"/>
        <v>336</v>
      </c>
      <c r="I14" s="64">
        <f t="shared" si="0"/>
        <v>411</v>
      </c>
      <c r="J14" s="65">
        <f t="shared" si="0"/>
        <v>420</v>
      </c>
      <c r="K14" s="64">
        <f t="shared" si="0"/>
        <v>412</v>
      </c>
      <c r="L14" s="65">
        <f t="shared" si="0"/>
        <v>354</v>
      </c>
      <c r="M14" s="64">
        <f t="shared" si="0"/>
        <v>402</v>
      </c>
      <c r="N14" s="65">
        <f t="shared" si="0"/>
        <v>351</v>
      </c>
      <c r="O14" s="64">
        <v>81</v>
      </c>
      <c r="P14" s="65">
        <v>-18</v>
      </c>
    </row>
    <row r="15" spans="1:17" ht="17.25" customHeight="1">
      <c r="A15" s="37"/>
      <c r="B15" s="35" t="s">
        <v>45</v>
      </c>
      <c r="C15" s="35">
        <v>41.22</v>
      </c>
      <c r="D15" s="38">
        <v>34.67</v>
      </c>
      <c r="E15" s="62">
        <v>46.56</v>
      </c>
      <c r="F15" s="38">
        <v>41.332999999999998</v>
      </c>
      <c r="G15" s="35">
        <v>39.44</v>
      </c>
      <c r="H15" s="38">
        <v>37.33</v>
      </c>
      <c r="I15" s="62">
        <v>45.67</v>
      </c>
      <c r="J15" s="38">
        <v>46.67</v>
      </c>
      <c r="K15" s="62">
        <v>45.78</v>
      </c>
      <c r="L15" s="38">
        <v>39.33</v>
      </c>
      <c r="M15" s="35">
        <v>44.67</v>
      </c>
      <c r="N15" s="38">
        <v>39</v>
      </c>
      <c r="O15" s="35">
        <v>9</v>
      </c>
      <c r="P15" s="38">
        <v>-2</v>
      </c>
    </row>
    <row r="16" spans="1:17" ht="11.25" customHeight="1">
      <c r="A16" s="37"/>
      <c r="B16" s="37"/>
      <c r="C16" s="36"/>
      <c r="D16" s="63"/>
      <c r="E16" s="36"/>
      <c r="F16" s="63"/>
      <c r="G16" s="36"/>
      <c r="H16" s="63"/>
      <c r="I16" s="36" t="s">
        <v>18</v>
      </c>
      <c r="J16" s="36" t="s">
        <v>18</v>
      </c>
      <c r="K16" s="36"/>
      <c r="L16" s="63"/>
      <c r="M16" s="36"/>
      <c r="N16" s="36"/>
      <c r="O16" s="36"/>
      <c r="P16" s="36"/>
    </row>
    <row r="17" spans="1:16">
      <c r="D17" s="2">
        <f>C15-D15</f>
        <v>6.5499999999999972</v>
      </c>
      <c r="F17" s="2">
        <f>E15-F15</f>
        <v>5.2270000000000039</v>
      </c>
      <c r="H17" s="2">
        <f>G15-H15</f>
        <v>2.1099999999999994</v>
      </c>
      <c r="I17" s="2"/>
      <c r="J17" s="2">
        <f>I15-J15</f>
        <v>-1</v>
      </c>
      <c r="L17" s="2">
        <f>K15-L15</f>
        <v>6.4500000000000028</v>
      </c>
      <c r="N17" s="2">
        <f>M15-N15</f>
        <v>5.6700000000000017</v>
      </c>
      <c r="P17" s="2">
        <f>O15-P15</f>
        <v>11</v>
      </c>
    </row>
    <row r="19" spans="1:16" ht="30" customHeight="1">
      <c r="A19" s="28" t="s">
        <v>47</v>
      </c>
    </row>
  </sheetData>
  <phoneticPr fontId="2"/>
  <pageMargins left="0.6" right="0.57999999999999996" top="0.97" bottom="0.79" header="0.3" footer="0.3"/>
  <pageSetup paperSize="9" orientation="landscape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1:I144"/>
  <sheetViews>
    <sheetView topLeftCell="A136" workbookViewId="0">
      <selection activeCell="K32" sqref="K32"/>
    </sheetView>
  </sheetViews>
  <sheetFormatPr defaultRowHeight="13.5"/>
  <cols>
    <col min="1" max="1" width="6.875" customWidth="1"/>
    <col min="2" max="3" width="11.25" customWidth="1"/>
    <col min="4" max="4" width="13.625" customWidth="1"/>
    <col min="5" max="5" width="11.25" customWidth="1"/>
    <col min="6" max="9" width="10" customWidth="1"/>
  </cols>
  <sheetData>
    <row r="1" spans="1:9" ht="18.75" customHeight="1">
      <c r="B1" s="59" t="s">
        <v>42</v>
      </c>
    </row>
    <row r="2" spans="1:9">
      <c r="A2" s="35" t="s">
        <v>20</v>
      </c>
      <c r="B2" s="35"/>
      <c r="C2" s="36" t="s">
        <v>35</v>
      </c>
      <c r="D2" s="36" t="s">
        <v>37</v>
      </c>
      <c r="E2" s="37" t="s">
        <v>36</v>
      </c>
      <c r="F2" s="37" t="s">
        <v>38</v>
      </c>
      <c r="G2" s="37" t="s">
        <v>39</v>
      </c>
      <c r="H2" s="37" t="s">
        <v>40</v>
      </c>
      <c r="I2" s="37" t="s">
        <v>41</v>
      </c>
    </row>
    <row r="3" spans="1:9">
      <c r="A3" s="35">
        <v>55</v>
      </c>
      <c r="B3" s="35" t="s">
        <v>23</v>
      </c>
      <c r="C3" s="35">
        <v>48</v>
      </c>
      <c r="D3" s="35">
        <v>61</v>
      </c>
      <c r="E3" s="35">
        <v>48</v>
      </c>
      <c r="F3" s="35">
        <v>32</v>
      </c>
      <c r="G3" s="35">
        <v>59</v>
      </c>
      <c r="H3" s="35">
        <v>45</v>
      </c>
      <c r="I3" s="35">
        <v>34</v>
      </c>
    </row>
    <row r="4" spans="1:9">
      <c r="A4" s="35">
        <v>40</v>
      </c>
      <c r="B4" s="35" t="s">
        <v>24</v>
      </c>
      <c r="C4" s="35">
        <v>36</v>
      </c>
      <c r="D4" s="35">
        <v>39</v>
      </c>
      <c r="E4" s="35">
        <v>37</v>
      </c>
      <c r="F4" s="35">
        <v>39</v>
      </c>
      <c r="G4" s="35">
        <v>49</v>
      </c>
      <c r="H4" s="35">
        <v>36</v>
      </c>
      <c r="I4" s="35">
        <v>5</v>
      </c>
    </row>
    <row r="5" spans="1:9">
      <c r="A5" s="35">
        <v>33</v>
      </c>
      <c r="B5" s="35" t="s">
        <v>25</v>
      </c>
      <c r="C5" s="35">
        <v>34</v>
      </c>
      <c r="D5" s="35">
        <v>39</v>
      </c>
      <c r="E5" s="35">
        <v>37</v>
      </c>
      <c r="F5" s="35">
        <v>62</v>
      </c>
      <c r="G5" s="35">
        <v>35</v>
      </c>
      <c r="H5" s="35">
        <v>45</v>
      </c>
      <c r="I5" s="35">
        <v>-10</v>
      </c>
    </row>
    <row r="6" spans="1:9">
      <c r="A6" s="35">
        <v>55</v>
      </c>
      <c r="B6" s="35" t="s">
        <v>26</v>
      </c>
      <c r="C6" s="35">
        <v>55</v>
      </c>
      <c r="D6" s="35">
        <v>53</v>
      </c>
      <c r="E6" s="35">
        <v>48</v>
      </c>
      <c r="F6" s="35">
        <v>35</v>
      </c>
      <c r="G6" s="35">
        <v>48</v>
      </c>
      <c r="H6" s="35">
        <v>51</v>
      </c>
      <c r="I6" s="35">
        <v>27</v>
      </c>
    </row>
    <row r="7" spans="1:9">
      <c r="A7" s="35">
        <v>30</v>
      </c>
      <c r="B7" s="35" t="s">
        <v>27</v>
      </c>
      <c r="C7" s="35">
        <v>39</v>
      </c>
      <c r="D7" s="35">
        <v>42</v>
      </c>
      <c r="E7" s="35">
        <v>37</v>
      </c>
      <c r="F7" s="35">
        <v>51</v>
      </c>
      <c r="G7" s="35">
        <v>37</v>
      </c>
      <c r="H7" s="35">
        <v>39</v>
      </c>
      <c r="I7" s="35">
        <v>-3</v>
      </c>
    </row>
    <row r="8" spans="1:9">
      <c r="A8" s="35">
        <v>49</v>
      </c>
      <c r="B8" s="35" t="s">
        <v>28</v>
      </c>
      <c r="C8" s="35">
        <v>41</v>
      </c>
      <c r="D8" s="35">
        <v>44</v>
      </c>
      <c r="E8" s="35">
        <v>37</v>
      </c>
      <c r="F8" s="35">
        <v>41</v>
      </c>
      <c r="G8" s="35">
        <v>45</v>
      </c>
      <c r="H8" s="35">
        <v>42</v>
      </c>
      <c r="I8" s="35">
        <v>8</v>
      </c>
    </row>
    <row r="9" spans="1:9">
      <c r="A9" s="35">
        <v>35</v>
      </c>
      <c r="B9" s="35" t="s">
        <v>29</v>
      </c>
      <c r="C9" s="35">
        <v>35</v>
      </c>
      <c r="D9" s="35">
        <v>50</v>
      </c>
      <c r="E9" s="35">
        <v>37</v>
      </c>
      <c r="F9" s="35">
        <v>61</v>
      </c>
      <c r="G9" s="35">
        <v>44</v>
      </c>
      <c r="H9" s="35">
        <v>45</v>
      </c>
      <c r="I9" s="35">
        <v>-1</v>
      </c>
    </row>
    <row r="10" spans="1:9">
      <c r="A10" s="35">
        <v>27</v>
      </c>
      <c r="B10" s="35" t="s">
        <v>31</v>
      </c>
      <c r="C10" s="35">
        <v>35</v>
      </c>
      <c r="D10" s="35">
        <v>40</v>
      </c>
      <c r="E10" s="35">
        <v>37</v>
      </c>
      <c r="F10" s="35">
        <v>37</v>
      </c>
      <c r="G10" s="35">
        <v>48</v>
      </c>
      <c r="H10" s="35">
        <v>48</v>
      </c>
      <c r="I10" s="35">
        <v>8</v>
      </c>
    </row>
    <row r="11" spans="1:9">
      <c r="A11" s="35">
        <v>42</v>
      </c>
      <c r="B11" s="35" t="s">
        <v>30</v>
      </c>
      <c r="C11" s="35">
        <v>48</v>
      </c>
      <c r="D11" s="35">
        <v>51</v>
      </c>
      <c r="E11" s="35">
        <v>37</v>
      </c>
      <c r="F11" s="35">
        <v>53</v>
      </c>
      <c r="G11" s="35">
        <v>47</v>
      </c>
      <c r="H11" s="35">
        <v>51</v>
      </c>
      <c r="I11" s="35">
        <v>13</v>
      </c>
    </row>
    <row r="12" spans="1:9">
      <c r="A12" s="42"/>
      <c r="B12" s="44"/>
      <c r="C12" s="29">
        <f t="shared" ref="C12:H12" si="0">SUM(C3:C11)</f>
        <v>371</v>
      </c>
      <c r="D12" s="29">
        <f t="shared" si="0"/>
        <v>419</v>
      </c>
      <c r="E12" s="46">
        <f t="shared" si="0"/>
        <v>355</v>
      </c>
      <c r="F12" s="47">
        <f t="shared" si="0"/>
        <v>411</v>
      </c>
      <c r="G12" s="48">
        <f t="shared" si="0"/>
        <v>412</v>
      </c>
      <c r="H12" s="29">
        <f t="shared" si="0"/>
        <v>402</v>
      </c>
      <c r="I12" s="53">
        <v>81</v>
      </c>
    </row>
    <row r="13" spans="1:9">
      <c r="A13" s="42"/>
      <c r="B13" s="54" t="s">
        <v>45</v>
      </c>
      <c r="C13" s="29">
        <v>41.22</v>
      </c>
      <c r="D13" s="31">
        <v>46.56</v>
      </c>
      <c r="E13" s="49">
        <v>39.44</v>
      </c>
      <c r="F13" s="31">
        <v>45.67</v>
      </c>
      <c r="G13" s="50">
        <v>45.78</v>
      </c>
      <c r="H13" s="29">
        <v>44.67</v>
      </c>
      <c r="I13" s="54">
        <v>9</v>
      </c>
    </row>
    <row r="14" spans="1:9">
      <c r="A14" s="43"/>
      <c r="B14" s="45"/>
      <c r="C14" s="39"/>
      <c r="D14" s="39"/>
      <c r="E14" s="51"/>
      <c r="F14" s="39" t="s">
        <v>18</v>
      </c>
      <c r="G14" s="52"/>
      <c r="H14" s="39"/>
      <c r="I14" s="41"/>
    </row>
    <row r="15" spans="1:9">
      <c r="A15" s="11"/>
      <c r="B15" s="11"/>
      <c r="C15" s="14"/>
      <c r="D15" s="14"/>
      <c r="E15" s="14"/>
      <c r="F15" s="14"/>
      <c r="G15" s="14"/>
      <c r="H15" s="14"/>
      <c r="I15" s="14"/>
    </row>
    <row r="16" spans="1:9">
      <c r="A16" s="11"/>
      <c r="B16" s="11"/>
      <c r="C16" s="14"/>
      <c r="D16" s="14"/>
      <c r="E16" s="14"/>
      <c r="F16" s="14"/>
      <c r="G16" s="14"/>
      <c r="H16" s="14"/>
      <c r="I16" s="14"/>
    </row>
    <row r="17" spans="1:9">
      <c r="A17" s="11"/>
      <c r="B17" s="30" t="s">
        <v>45</v>
      </c>
      <c r="C17" s="14"/>
      <c r="D17" s="14"/>
      <c r="E17" s="14"/>
      <c r="F17" s="14"/>
      <c r="G17" s="14"/>
      <c r="H17" s="14"/>
      <c r="I17" s="14"/>
    </row>
    <row r="18" spans="1:9">
      <c r="A18" s="38"/>
      <c r="B18" s="34" t="s">
        <v>45</v>
      </c>
      <c r="C18" s="60" t="s">
        <v>35</v>
      </c>
      <c r="D18" s="60" t="s">
        <v>37</v>
      </c>
      <c r="E18" s="32" t="s">
        <v>36</v>
      </c>
      <c r="F18" s="32" t="s">
        <v>38</v>
      </c>
      <c r="G18" s="32" t="s">
        <v>39</v>
      </c>
      <c r="H18" s="32" t="s">
        <v>40</v>
      </c>
    </row>
    <row r="19" spans="1:9">
      <c r="A19" s="38"/>
      <c r="B19" s="34" t="s">
        <v>48</v>
      </c>
      <c r="C19" s="34">
        <v>41.2</v>
      </c>
      <c r="D19" s="33">
        <v>46.5</v>
      </c>
      <c r="E19" s="34">
        <v>39.4</v>
      </c>
      <c r="F19" s="33">
        <v>45.6</v>
      </c>
      <c r="G19" s="33">
        <v>45.7</v>
      </c>
      <c r="H19" s="34">
        <v>44.6</v>
      </c>
    </row>
    <row r="20" spans="1:9">
      <c r="A20" s="38"/>
      <c r="B20" s="34" t="s">
        <v>49</v>
      </c>
      <c r="C20" s="34">
        <v>34.6</v>
      </c>
      <c r="D20" s="34">
        <v>41.3</v>
      </c>
      <c r="E20" s="34">
        <v>37.299999999999997</v>
      </c>
      <c r="F20" s="34">
        <v>46.6</v>
      </c>
      <c r="G20" s="34">
        <v>39.299999999999997</v>
      </c>
      <c r="H20" s="34">
        <v>39</v>
      </c>
    </row>
    <row r="21" spans="1:9">
      <c r="F21" s="2"/>
    </row>
    <row r="22" spans="1:9">
      <c r="F22" s="2"/>
    </row>
    <row r="23" spans="1:9" ht="18.75" customHeight="1">
      <c r="B23" s="59" t="s">
        <v>43</v>
      </c>
    </row>
    <row r="24" spans="1:9" ht="12.75" customHeight="1">
      <c r="A24" s="35" t="s">
        <v>20</v>
      </c>
      <c r="B24" s="35"/>
      <c r="C24" s="36" t="s">
        <v>35</v>
      </c>
      <c r="D24" s="36" t="s">
        <v>37</v>
      </c>
      <c r="E24" s="37" t="s">
        <v>36</v>
      </c>
      <c r="F24" s="37" t="s">
        <v>38</v>
      </c>
      <c r="G24" s="37" t="s">
        <v>39</v>
      </c>
      <c r="H24" s="37" t="s">
        <v>40</v>
      </c>
      <c r="I24" s="37" t="s">
        <v>41</v>
      </c>
    </row>
    <row r="25" spans="1:9">
      <c r="A25" s="35">
        <v>55</v>
      </c>
      <c r="B25" s="35" t="s">
        <v>23</v>
      </c>
      <c r="C25" s="38">
        <v>41</v>
      </c>
      <c r="D25" s="38">
        <v>49</v>
      </c>
      <c r="E25" s="38">
        <v>40</v>
      </c>
      <c r="F25" s="38">
        <v>34</v>
      </c>
      <c r="G25" s="38">
        <v>49</v>
      </c>
      <c r="H25" s="38">
        <v>36</v>
      </c>
      <c r="I25" s="38">
        <v>14</v>
      </c>
    </row>
    <row r="26" spans="1:9">
      <c r="A26" s="35">
        <v>40</v>
      </c>
      <c r="B26" s="35" t="s">
        <v>24</v>
      </c>
      <c r="C26" s="38">
        <v>34</v>
      </c>
      <c r="D26" s="38">
        <v>39</v>
      </c>
      <c r="E26" s="38">
        <v>37</v>
      </c>
      <c r="F26" s="38">
        <v>58</v>
      </c>
      <c r="G26" s="38">
        <v>35</v>
      </c>
      <c r="H26" s="38">
        <v>36</v>
      </c>
      <c r="I26" s="38">
        <v>-11</v>
      </c>
    </row>
    <row r="27" spans="1:9">
      <c r="A27" s="35">
        <v>33</v>
      </c>
      <c r="B27" s="35" t="s">
        <v>25</v>
      </c>
      <c r="C27" s="38">
        <v>34</v>
      </c>
      <c r="D27" s="38">
        <v>39</v>
      </c>
      <c r="E27" s="38">
        <v>37</v>
      </c>
      <c r="F27" s="38">
        <v>37</v>
      </c>
      <c r="G27" s="38">
        <v>45</v>
      </c>
      <c r="H27" s="38">
        <v>36</v>
      </c>
      <c r="I27" s="38">
        <v>3</v>
      </c>
    </row>
    <row r="28" spans="1:9">
      <c r="A28" s="35">
        <v>55</v>
      </c>
      <c r="B28" s="35" t="s">
        <v>26</v>
      </c>
      <c r="C28" s="38">
        <v>35</v>
      </c>
      <c r="D28" s="38">
        <v>40</v>
      </c>
      <c r="E28" s="38">
        <v>37</v>
      </c>
      <c r="F28" s="38">
        <v>42</v>
      </c>
      <c r="G28" s="38">
        <v>40</v>
      </c>
      <c r="H28" s="38">
        <v>42</v>
      </c>
      <c r="I28" s="38">
        <v>0</v>
      </c>
    </row>
    <row r="29" spans="1:9">
      <c r="A29" s="35">
        <v>30</v>
      </c>
      <c r="B29" s="35" t="s">
        <v>27</v>
      </c>
      <c r="C29" s="38">
        <v>34</v>
      </c>
      <c r="D29" s="38">
        <v>39</v>
      </c>
      <c r="E29" s="38">
        <v>37</v>
      </c>
      <c r="F29" s="38">
        <v>39</v>
      </c>
      <c r="G29" s="38">
        <v>33</v>
      </c>
      <c r="H29" s="38">
        <v>42</v>
      </c>
      <c r="I29" s="38">
        <v>-1</v>
      </c>
    </row>
    <row r="30" spans="1:9">
      <c r="A30" s="35">
        <v>49</v>
      </c>
      <c r="B30" s="35" t="s">
        <v>28</v>
      </c>
      <c r="C30" s="38">
        <v>34</v>
      </c>
      <c r="D30" s="38">
        <v>42</v>
      </c>
      <c r="E30" s="38">
        <v>37</v>
      </c>
      <c r="F30" s="38">
        <v>44</v>
      </c>
      <c r="G30" s="38">
        <v>39</v>
      </c>
      <c r="H30" s="38">
        <v>36</v>
      </c>
      <c r="I30" s="38">
        <v>-2</v>
      </c>
    </row>
    <row r="31" spans="1:9">
      <c r="A31" s="35">
        <v>35</v>
      </c>
      <c r="B31" s="35" t="s">
        <v>29</v>
      </c>
      <c r="C31" s="38">
        <v>33</v>
      </c>
      <c r="D31" s="38">
        <v>45</v>
      </c>
      <c r="E31" s="38">
        <v>37</v>
      </c>
      <c r="F31" s="38">
        <v>66</v>
      </c>
      <c r="G31" s="38">
        <v>40</v>
      </c>
      <c r="H31" s="38">
        <v>39</v>
      </c>
      <c r="I31" s="38">
        <v>-10</v>
      </c>
    </row>
    <row r="32" spans="1:9">
      <c r="A32" s="35">
        <v>27</v>
      </c>
      <c r="B32" s="35" t="s">
        <v>31</v>
      </c>
      <c r="C32" s="38">
        <v>33</v>
      </c>
      <c r="D32" s="38">
        <v>40</v>
      </c>
      <c r="E32" s="38">
        <v>37</v>
      </c>
      <c r="F32" s="38">
        <v>42</v>
      </c>
      <c r="G32" s="38">
        <v>36</v>
      </c>
      <c r="H32" s="38">
        <v>42</v>
      </c>
      <c r="I32" s="38">
        <v>-3</v>
      </c>
    </row>
    <row r="33" spans="1:9">
      <c r="A33" s="35">
        <v>42</v>
      </c>
      <c r="B33" s="35" t="s">
        <v>30</v>
      </c>
      <c r="C33" s="38">
        <v>34</v>
      </c>
      <c r="D33" s="38">
        <v>39</v>
      </c>
      <c r="E33" s="38">
        <v>37</v>
      </c>
      <c r="F33" s="38">
        <v>58</v>
      </c>
      <c r="G33" s="38">
        <v>37</v>
      </c>
      <c r="H33" s="38">
        <v>42</v>
      </c>
      <c r="I33" s="38">
        <v>-8</v>
      </c>
    </row>
    <row r="34" spans="1:9">
      <c r="A34" s="42"/>
      <c r="B34" s="55"/>
      <c r="C34" s="56">
        <f t="shared" ref="C34:H34" si="1">SUM(C25:C33)</f>
        <v>312</v>
      </c>
      <c r="D34" s="30">
        <f t="shared" si="1"/>
        <v>372</v>
      </c>
      <c r="E34" s="56">
        <f t="shared" si="1"/>
        <v>336</v>
      </c>
      <c r="F34" s="30">
        <f t="shared" si="1"/>
        <v>420</v>
      </c>
      <c r="G34" s="56">
        <f t="shared" si="1"/>
        <v>354</v>
      </c>
      <c r="H34" s="30">
        <f t="shared" si="1"/>
        <v>351</v>
      </c>
      <c r="I34" s="56">
        <v>-18</v>
      </c>
    </row>
    <row r="35" spans="1:9">
      <c r="A35" s="42"/>
      <c r="B35" s="42" t="s">
        <v>45</v>
      </c>
      <c r="C35" s="40">
        <v>34.67</v>
      </c>
      <c r="D35" s="30">
        <v>41.332999999999998</v>
      </c>
      <c r="E35" s="40">
        <v>37.33</v>
      </c>
      <c r="F35" s="30">
        <v>46.67</v>
      </c>
      <c r="G35" s="40">
        <v>39.33</v>
      </c>
      <c r="H35" s="30">
        <v>39</v>
      </c>
      <c r="I35" s="40">
        <v>-2</v>
      </c>
    </row>
    <row r="36" spans="1:9">
      <c r="A36" s="43"/>
      <c r="B36" s="43"/>
      <c r="C36" s="57"/>
      <c r="D36" s="61"/>
      <c r="E36" s="57"/>
      <c r="F36" s="39" t="s">
        <v>18</v>
      </c>
      <c r="G36" s="57"/>
      <c r="H36" s="39"/>
      <c r="I36" s="41"/>
    </row>
    <row r="37" spans="1:9">
      <c r="C37" s="2"/>
      <c r="D37" s="2"/>
      <c r="E37" s="2"/>
      <c r="F37" s="2"/>
    </row>
    <row r="38" spans="1:9">
      <c r="C38" s="2"/>
      <c r="D38" s="2"/>
      <c r="E38" s="2"/>
      <c r="F38" s="2"/>
    </row>
    <row r="39" spans="1:9">
      <c r="C39" s="2"/>
      <c r="D39" s="2"/>
      <c r="E39" s="2"/>
      <c r="F39" s="2"/>
    </row>
    <row r="40" spans="1:9">
      <c r="C40" s="2"/>
      <c r="D40" s="2"/>
      <c r="E40" s="2"/>
      <c r="F40" s="2"/>
    </row>
    <row r="41" spans="1:9">
      <c r="C41" s="2"/>
      <c r="D41" s="2"/>
      <c r="E41" s="2"/>
      <c r="F41" s="2"/>
    </row>
    <row r="42" spans="1:9">
      <c r="C42" s="2"/>
      <c r="D42" s="2"/>
      <c r="E42" s="2"/>
      <c r="F42" s="2"/>
    </row>
    <row r="43" spans="1:9">
      <c r="C43" s="2"/>
      <c r="D43" s="2"/>
      <c r="E43" s="2"/>
      <c r="F43" s="2"/>
    </row>
    <row r="44" spans="1:9">
      <c r="C44" s="2"/>
      <c r="D44" s="2"/>
      <c r="E44" s="2"/>
      <c r="F44" s="2"/>
    </row>
    <row r="45" spans="1:9">
      <c r="C45" s="2"/>
      <c r="D45" s="2"/>
      <c r="E45" s="2"/>
      <c r="F45" s="2"/>
    </row>
    <row r="46" spans="1:9">
      <c r="C46" s="2"/>
      <c r="D46" s="2"/>
      <c r="E46" s="2"/>
      <c r="F46" s="2"/>
    </row>
    <row r="47" spans="1:9">
      <c r="C47" s="2"/>
      <c r="D47" s="2"/>
      <c r="E47" s="2"/>
      <c r="F47" s="2"/>
    </row>
    <row r="48" spans="1:9">
      <c r="C48" s="2"/>
      <c r="D48" s="2"/>
      <c r="E48" s="2"/>
      <c r="F48" s="2"/>
    </row>
    <row r="49" spans="1:9">
      <c r="C49" s="2"/>
      <c r="D49" s="2"/>
      <c r="E49" s="2"/>
      <c r="F49" s="2"/>
    </row>
    <row r="50" spans="1:9">
      <c r="C50" s="2"/>
      <c r="D50" s="2"/>
      <c r="E50" s="2"/>
      <c r="F50" s="2"/>
    </row>
    <row r="51" spans="1:9">
      <c r="C51" s="2"/>
      <c r="D51" s="2"/>
      <c r="E51" s="2"/>
      <c r="F51" s="2"/>
    </row>
    <row r="52" spans="1:9">
      <c r="C52" s="2"/>
      <c r="D52" s="2"/>
      <c r="E52" s="2"/>
      <c r="F52" s="2"/>
    </row>
    <row r="53" spans="1:9">
      <c r="C53" s="2"/>
      <c r="D53" s="2"/>
      <c r="E53" s="2"/>
      <c r="F53" s="2"/>
    </row>
    <row r="54" spans="1:9">
      <c r="C54" s="2"/>
      <c r="D54" s="2"/>
      <c r="E54" s="2"/>
      <c r="F54" s="2"/>
    </row>
    <row r="59" spans="1:9">
      <c r="B59" s="59" t="s">
        <v>52</v>
      </c>
    </row>
    <row r="60" spans="1:9">
      <c r="A60" s="35" t="s">
        <v>20</v>
      </c>
      <c r="B60" s="35"/>
      <c r="C60" s="36" t="s">
        <v>35</v>
      </c>
      <c r="D60" s="36" t="s">
        <v>37</v>
      </c>
      <c r="E60" s="37" t="s">
        <v>36</v>
      </c>
      <c r="F60" s="37" t="s">
        <v>38</v>
      </c>
      <c r="G60" s="37" t="s">
        <v>39</v>
      </c>
      <c r="H60" s="37" t="s">
        <v>40</v>
      </c>
      <c r="I60" s="37" t="s">
        <v>41</v>
      </c>
    </row>
    <row r="61" spans="1:9">
      <c r="A61" s="35">
        <v>55</v>
      </c>
      <c r="B61" s="35" t="s">
        <v>23</v>
      </c>
      <c r="C61" s="35">
        <v>48</v>
      </c>
      <c r="D61" s="35">
        <v>61</v>
      </c>
      <c r="E61" s="35">
        <v>48</v>
      </c>
      <c r="F61" s="35">
        <v>32</v>
      </c>
      <c r="G61" s="35">
        <v>59</v>
      </c>
      <c r="H61" s="35">
        <v>45</v>
      </c>
      <c r="I61" s="35">
        <v>34</v>
      </c>
    </row>
    <row r="62" spans="1:9">
      <c r="A62" s="35">
        <v>40</v>
      </c>
      <c r="B62" s="35" t="s">
        <v>24</v>
      </c>
      <c r="C62" s="35">
        <v>36</v>
      </c>
      <c r="D62" s="35">
        <v>39</v>
      </c>
      <c r="E62" s="35">
        <v>37</v>
      </c>
      <c r="F62" s="35">
        <v>39</v>
      </c>
      <c r="G62" s="35">
        <v>49</v>
      </c>
      <c r="H62" s="35">
        <v>36</v>
      </c>
      <c r="I62" s="35">
        <v>5</v>
      </c>
    </row>
    <row r="63" spans="1:9">
      <c r="A63" s="35">
        <v>55</v>
      </c>
      <c r="B63" s="35" t="s">
        <v>26</v>
      </c>
      <c r="C63" s="35">
        <v>55</v>
      </c>
      <c r="D63" s="35">
        <v>53</v>
      </c>
      <c r="E63" s="35">
        <v>48</v>
      </c>
      <c r="F63" s="35">
        <v>35</v>
      </c>
      <c r="G63" s="35">
        <v>48</v>
      </c>
      <c r="H63" s="35">
        <v>51</v>
      </c>
      <c r="I63" s="35">
        <v>27</v>
      </c>
    </row>
    <row r="64" spans="1:9">
      <c r="A64" s="35">
        <v>30</v>
      </c>
      <c r="B64" s="35" t="s">
        <v>27</v>
      </c>
      <c r="C64" s="35">
        <v>39</v>
      </c>
      <c r="D64" s="35">
        <v>42</v>
      </c>
      <c r="E64" s="35">
        <v>37</v>
      </c>
      <c r="F64" s="35">
        <v>51</v>
      </c>
      <c r="G64" s="35">
        <v>37</v>
      </c>
      <c r="H64" s="35">
        <v>39</v>
      </c>
      <c r="I64" s="35">
        <v>-3</v>
      </c>
    </row>
    <row r="65" spans="1:9">
      <c r="A65" s="35">
        <v>49</v>
      </c>
      <c r="B65" s="35" t="s">
        <v>28</v>
      </c>
      <c r="C65" s="35">
        <v>41</v>
      </c>
      <c r="D65" s="35">
        <v>44</v>
      </c>
      <c r="E65" s="35">
        <v>37</v>
      </c>
      <c r="F65" s="35">
        <v>41</v>
      </c>
      <c r="G65" s="35">
        <v>45</v>
      </c>
      <c r="H65" s="35">
        <v>42</v>
      </c>
      <c r="I65" s="35">
        <v>8</v>
      </c>
    </row>
    <row r="66" spans="1:9">
      <c r="A66" s="35">
        <v>35</v>
      </c>
      <c r="B66" s="35" t="s">
        <v>29</v>
      </c>
      <c r="C66" s="35">
        <v>35</v>
      </c>
      <c r="D66" s="35">
        <v>50</v>
      </c>
      <c r="E66" s="35">
        <v>37</v>
      </c>
      <c r="F66" s="35">
        <v>61</v>
      </c>
      <c r="G66" s="35">
        <v>44</v>
      </c>
      <c r="H66" s="35">
        <v>45</v>
      </c>
      <c r="I66" s="35">
        <v>-1</v>
      </c>
    </row>
    <row r="67" spans="1:9">
      <c r="A67" s="35">
        <v>27</v>
      </c>
      <c r="B67" s="35" t="s">
        <v>31</v>
      </c>
      <c r="C67" s="35">
        <v>35</v>
      </c>
      <c r="D67" s="35">
        <v>40</v>
      </c>
      <c r="E67" s="35">
        <v>37</v>
      </c>
      <c r="F67" s="35">
        <v>37</v>
      </c>
      <c r="G67" s="35">
        <v>48</v>
      </c>
      <c r="H67" s="35">
        <v>48</v>
      </c>
      <c r="I67" s="35">
        <v>8</v>
      </c>
    </row>
    <row r="68" spans="1:9">
      <c r="A68" s="35">
        <v>42</v>
      </c>
      <c r="B68" s="35" t="s">
        <v>30</v>
      </c>
      <c r="C68" s="35">
        <v>48</v>
      </c>
      <c r="D68" s="35">
        <v>51</v>
      </c>
      <c r="E68" s="35">
        <v>37</v>
      </c>
      <c r="F68" s="35">
        <v>53</v>
      </c>
      <c r="G68" s="35">
        <v>47</v>
      </c>
      <c r="H68" s="35">
        <v>51</v>
      </c>
      <c r="I68" s="35">
        <v>13</v>
      </c>
    </row>
    <row r="69" spans="1:9">
      <c r="A69" s="42"/>
      <c r="B69" s="44"/>
      <c r="C69" s="29">
        <f t="shared" ref="C69:I69" si="2">SUM(C61:C68)</f>
        <v>337</v>
      </c>
      <c r="D69" s="29">
        <f t="shared" si="2"/>
        <v>380</v>
      </c>
      <c r="E69" s="46">
        <f t="shared" si="2"/>
        <v>318</v>
      </c>
      <c r="F69" s="47">
        <f t="shared" si="2"/>
        <v>349</v>
      </c>
      <c r="G69" s="48">
        <f t="shared" si="2"/>
        <v>377</v>
      </c>
      <c r="H69" s="29">
        <f t="shared" si="2"/>
        <v>357</v>
      </c>
      <c r="I69" s="53">
        <f t="shared" si="2"/>
        <v>91</v>
      </c>
    </row>
    <row r="70" spans="1:9">
      <c r="A70" s="43"/>
      <c r="B70" s="64" t="s">
        <v>45</v>
      </c>
      <c r="C70" s="70">
        <f t="shared" ref="C70:I70" si="3">AVERAGE(C61:C68)</f>
        <v>42.125</v>
      </c>
      <c r="D70" s="71">
        <f t="shared" si="3"/>
        <v>47.5</v>
      </c>
      <c r="E70" s="72">
        <f t="shared" si="3"/>
        <v>39.75</v>
      </c>
      <c r="F70" s="71">
        <f t="shared" si="3"/>
        <v>43.625</v>
      </c>
      <c r="G70" s="73">
        <f t="shared" si="3"/>
        <v>47.125</v>
      </c>
      <c r="H70" s="70">
        <f t="shared" si="3"/>
        <v>44.625</v>
      </c>
      <c r="I70" s="64">
        <f t="shared" si="3"/>
        <v>11.375</v>
      </c>
    </row>
    <row r="73" spans="1:9">
      <c r="B73" s="59" t="s">
        <v>53</v>
      </c>
    </row>
    <row r="74" spans="1:9">
      <c r="A74" s="35" t="s">
        <v>20</v>
      </c>
      <c r="B74" s="35"/>
      <c r="C74" s="36" t="s">
        <v>35</v>
      </c>
      <c r="D74" s="36" t="s">
        <v>37</v>
      </c>
      <c r="E74" s="37" t="s">
        <v>36</v>
      </c>
      <c r="F74" s="37" t="s">
        <v>38</v>
      </c>
      <c r="G74" s="37" t="s">
        <v>39</v>
      </c>
      <c r="H74" s="37" t="s">
        <v>40</v>
      </c>
      <c r="I74" s="37" t="s">
        <v>41</v>
      </c>
    </row>
    <row r="75" spans="1:9">
      <c r="A75" s="35">
        <v>55</v>
      </c>
      <c r="B75" s="35" t="s">
        <v>23</v>
      </c>
      <c r="C75" s="38">
        <v>41</v>
      </c>
      <c r="D75" s="38">
        <v>49</v>
      </c>
      <c r="E75" s="38">
        <v>40</v>
      </c>
      <c r="F75" s="38">
        <v>34</v>
      </c>
      <c r="G75" s="38">
        <v>49</v>
      </c>
      <c r="H75" s="38">
        <v>36</v>
      </c>
      <c r="I75" s="38">
        <v>14</v>
      </c>
    </row>
    <row r="76" spans="1:9">
      <c r="A76" s="35">
        <v>40</v>
      </c>
      <c r="B76" s="35" t="s">
        <v>24</v>
      </c>
      <c r="C76" s="38">
        <v>34</v>
      </c>
      <c r="D76" s="38">
        <v>39</v>
      </c>
      <c r="E76" s="38">
        <v>37</v>
      </c>
      <c r="F76" s="38">
        <v>58</v>
      </c>
      <c r="G76" s="38">
        <v>35</v>
      </c>
      <c r="H76" s="38">
        <v>36</v>
      </c>
      <c r="I76" s="38">
        <v>-11</v>
      </c>
    </row>
    <row r="77" spans="1:9">
      <c r="A77" s="35">
        <v>55</v>
      </c>
      <c r="B77" s="35" t="s">
        <v>26</v>
      </c>
      <c r="C77" s="38">
        <v>35</v>
      </c>
      <c r="D77" s="38">
        <v>40</v>
      </c>
      <c r="E77" s="38">
        <v>37</v>
      </c>
      <c r="F77" s="38">
        <v>42</v>
      </c>
      <c r="G77" s="38">
        <v>40</v>
      </c>
      <c r="H77" s="38">
        <v>42</v>
      </c>
      <c r="I77" s="38">
        <v>0</v>
      </c>
    </row>
    <row r="78" spans="1:9">
      <c r="A78" s="35">
        <v>30</v>
      </c>
      <c r="B78" s="35" t="s">
        <v>27</v>
      </c>
      <c r="C78" s="38">
        <v>34</v>
      </c>
      <c r="D78" s="38">
        <v>39</v>
      </c>
      <c r="E78" s="38">
        <v>37</v>
      </c>
      <c r="F78" s="38">
        <v>39</v>
      </c>
      <c r="G78" s="38">
        <v>33</v>
      </c>
      <c r="H78" s="38">
        <v>42</v>
      </c>
      <c r="I78" s="38">
        <v>-1</v>
      </c>
    </row>
    <row r="79" spans="1:9">
      <c r="A79" s="35">
        <v>49</v>
      </c>
      <c r="B79" s="35" t="s">
        <v>28</v>
      </c>
      <c r="C79" s="38">
        <v>34</v>
      </c>
      <c r="D79" s="38">
        <v>42</v>
      </c>
      <c r="E79" s="38">
        <v>37</v>
      </c>
      <c r="F79" s="38">
        <v>44</v>
      </c>
      <c r="G79" s="38">
        <v>39</v>
      </c>
      <c r="H79" s="38">
        <v>36</v>
      </c>
      <c r="I79" s="38">
        <v>-2</v>
      </c>
    </row>
    <row r="80" spans="1:9">
      <c r="A80" s="35">
        <v>35</v>
      </c>
      <c r="B80" s="35" t="s">
        <v>29</v>
      </c>
      <c r="C80" s="38">
        <v>33</v>
      </c>
      <c r="D80" s="38">
        <v>45</v>
      </c>
      <c r="E80" s="38">
        <v>37</v>
      </c>
      <c r="F80" s="38">
        <v>66</v>
      </c>
      <c r="G80" s="38">
        <v>40</v>
      </c>
      <c r="H80" s="38">
        <v>39</v>
      </c>
      <c r="I80" s="38">
        <v>-10</v>
      </c>
    </row>
    <row r="81" spans="1:9">
      <c r="A81" s="35">
        <v>27</v>
      </c>
      <c r="B81" s="35" t="s">
        <v>31</v>
      </c>
      <c r="C81" s="38">
        <v>33</v>
      </c>
      <c r="D81" s="38">
        <v>40</v>
      </c>
      <c r="E81" s="38">
        <v>37</v>
      </c>
      <c r="F81" s="38">
        <v>42</v>
      </c>
      <c r="G81" s="38">
        <v>36</v>
      </c>
      <c r="H81" s="38">
        <v>42</v>
      </c>
      <c r="I81" s="38">
        <v>-3</v>
      </c>
    </row>
    <row r="82" spans="1:9">
      <c r="A82" s="35">
        <v>42</v>
      </c>
      <c r="B82" s="35" t="s">
        <v>30</v>
      </c>
      <c r="C82" s="38">
        <v>34</v>
      </c>
      <c r="D82" s="38">
        <v>39</v>
      </c>
      <c r="E82" s="38">
        <v>37</v>
      </c>
      <c r="F82" s="38">
        <v>58</v>
      </c>
      <c r="G82" s="38">
        <v>37</v>
      </c>
      <c r="H82" s="38">
        <v>42</v>
      </c>
      <c r="I82" s="38">
        <v>-8</v>
      </c>
    </row>
    <row r="83" spans="1:9">
      <c r="A83" s="42"/>
      <c r="B83" s="55"/>
      <c r="C83" s="56">
        <f t="shared" ref="C83:I83" si="4">SUM(C75:C82)</f>
        <v>278</v>
      </c>
      <c r="D83" s="30">
        <f t="shared" si="4"/>
        <v>333</v>
      </c>
      <c r="E83" s="56">
        <f t="shared" si="4"/>
        <v>299</v>
      </c>
      <c r="F83" s="30">
        <f t="shared" si="4"/>
        <v>383</v>
      </c>
      <c r="G83" s="56">
        <f t="shared" si="4"/>
        <v>309</v>
      </c>
      <c r="H83" s="30">
        <f t="shared" si="4"/>
        <v>315</v>
      </c>
      <c r="I83" s="56">
        <f t="shared" si="4"/>
        <v>-21</v>
      </c>
    </row>
    <row r="84" spans="1:9">
      <c r="A84" s="43"/>
      <c r="B84" s="43" t="s">
        <v>45</v>
      </c>
      <c r="C84" s="65">
        <f t="shared" ref="C84:I84" si="5">AVERAGE(C75:C82)</f>
        <v>34.75</v>
      </c>
      <c r="D84" s="74">
        <f t="shared" si="5"/>
        <v>41.625</v>
      </c>
      <c r="E84" s="65">
        <f t="shared" si="5"/>
        <v>37.375</v>
      </c>
      <c r="F84" s="74">
        <f t="shared" si="5"/>
        <v>47.875</v>
      </c>
      <c r="G84" s="65">
        <f t="shared" si="5"/>
        <v>38.625</v>
      </c>
      <c r="H84" s="74">
        <f t="shared" si="5"/>
        <v>39.375</v>
      </c>
      <c r="I84" s="65">
        <f t="shared" si="5"/>
        <v>-2.625</v>
      </c>
    </row>
    <row r="87" spans="1:9">
      <c r="A87" s="11"/>
      <c r="B87" s="30" t="s">
        <v>45</v>
      </c>
      <c r="C87" s="14"/>
      <c r="D87" s="14"/>
      <c r="E87" s="14"/>
      <c r="F87" s="14"/>
      <c r="G87" s="14"/>
      <c r="H87" s="14"/>
    </row>
    <row r="88" spans="1:9">
      <c r="A88" s="38"/>
      <c r="B88" s="34" t="s">
        <v>45</v>
      </c>
      <c r="C88" s="60" t="s">
        <v>35</v>
      </c>
      <c r="D88" s="60" t="s">
        <v>37</v>
      </c>
      <c r="E88" s="32" t="s">
        <v>36</v>
      </c>
      <c r="F88" s="32" t="s">
        <v>38</v>
      </c>
      <c r="G88" s="32" t="s">
        <v>39</v>
      </c>
      <c r="H88" s="32" t="s">
        <v>40</v>
      </c>
    </row>
    <row r="89" spans="1:9">
      <c r="A89" s="38"/>
      <c r="B89" s="34" t="s">
        <v>21</v>
      </c>
      <c r="C89" s="35">
        <f t="shared" ref="C89:H89" si="6">SUM(C70)</f>
        <v>42.125</v>
      </c>
      <c r="D89" s="62">
        <f t="shared" si="6"/>
        <v>47.5</v>
      </c>
      <c r="E89" s="35">
        <f t="shared" si="6"/>
        <v>39.75</v>
      </c>
      <c r="F89" s="62">
        <f t="shared" si="6"/>
        <v>43.625</v>
      </c>
      <c r="G89" s="62">
        <f t="shared" si="6"/>
        <v>47.125</v>
      </c>
      <c r="H89" s="35">
        <f t="shared" si="6"/>
        <v>44.625</v>
      </c>
    </row>
    <row r="90" spans="1:9">
      <c r="A90" s="38"/>
      <c r="B90" s="34" t="s">
        <v>22</v>
      </c>
      <c r="C90" s="38">
        <f t="shared" ref="C90:H90" si="7">SUM(C84)</f>
        <v>34.75</v>
      </c>
      <c r="D90" s="38">
        <f t="shared" si="7"/>
        <v>41.625</v>
      </c>
      <c r="E90" s="38">
        <f t="shared" si="7"/>
        <v>37.375</v>
      </c>
      <c r="F90" s="38">
        <f t="shared" si="7"/>
        <v>47.875</v>
      </c>
      <c r="G90" s="38">
        <f t="shared" si="7"/>
        <v>38.625</v>
      </c>
      <c r="H90" s="38">
        <f t="shared" si="7"/>
        <v>39.375</v>
      </c>
    </row>
    <row r="93" spans="1:9" ht="30" customHeight="1">
      <c r="A93" s="28" t="s">
        <v>54</v>
      </c>
    </row>
    <row r="120" spans="1:1" ht="30" customHeight="1">
      <c r="A120" s="28" t="s">
        <v>56</v>
      </c>
    </row>
    <row r="144" spans="1:1" ht="30" customHeight="1">
      <c r="A144" s="28" t="s">
        <v>55</v>
      </c>
    </row>
  </sheetData>
  <phoneticPr fontId="2"/>
  <pageMargins left="0.5" right="0.38" top="0.75" bottom="0.8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元データ</vt:lpstr>
      <vt:lpstr>平均値のみ</vt:lpstr>
      <vt:lpstr>ｎ９グラフのみ</vt:lpstr>
      <vt:lpstr>表・グラフ</vt:lpstr>
      <vt:lpstr>作成用データ</vt:lpstr>
    </vt:vector>
  </TitlesOfParts>
  <Company>Toshiba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Joy Foundation</dc:creator>
  <cp:lastModifiedBy>ヒーリングバイブレーション</cp:lastModifiedBy>
  <cp:lastPrinted>2011-05-30T13:22:08Z</cp:lastPrinted>
  <dcterms:created xsi:type="dcterms:W3CDTF">2011-03-13T05:16:43Z</dcterms:created>
  <dcterms:modified xsi:type="dcterms:W3CDTF">2011-05-30T13:22:29Z</dcterms:modified>
</cp:coreProperties>
</file>