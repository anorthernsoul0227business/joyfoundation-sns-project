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ta\Desktop\心理テストPOMS Stal\"/>
    </mc:Choice>
  </mc:AlternateContent>
  <xr:revisionPtr revIDLastSave="0" documentId="8_{0F7726FA-B511-4683-BC12-74B155C41730}" xr6:coauthVersionLast="45" xr6:coauthVersionMax="45" xr10:uidLastSave="{00000000-0000-0000-0000-000000000000}"/>
  <bookViews>
    <workbookView xWindow="690" yWindow="690" windowWidth="19755" windowHeight="883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Sheet1!$A$1:$W$16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9" i="1" l="1"/>
  <c r="O8" i="1"/>
  <c r="O7" i="1"/>
  <c r="O5" i="1"/>
  <c r="H6" i="1"/>
  <c r="E5" i="1"/>
  <c r="V12" i="1"/>
  <c r="W12" i="1"/>
  <c r="W15" i="1" l="1"/>
  <c r="T15" i="1"/>
  <c r="Q15" i="1"/>
  <c r="N15" i="1"/>
  <c r="K15" i="1"/>
  <c r="G15" i="1"/>
  <c r="D15" i="1"/>
  <c r="N12" i="1" l="1"/>
  <c r="M12" i="1"/>
  <c r="T12" i="1"/>
  <c r="S12" i="1"/>
  <c r="C12" i="1"/>
  <c r="D12" i="1"/>
  <c r="F12" i="1"/>
  <c r="G12" i="1"/>
  <c r="J12" i="1"/>
  <c r="K12" i="1"/>
  <c r="P12" i="1"/>
  <c r="Q12" i="1"/>
</calcChain>
</file>

<file path=xl/sharedStrings.xml><?xml version="1.0" encoding="utf-8"?>
<sst xmlns="http://schemas.openxmlformats.org/spreadsheetml/2006/main" count="46" uniqueCount="24">
  <si>
    <t>前</t>
    <rPh sb="0" eb="1">
      <t>マエ</t>
    </rPh>
    <phoneticPr fontId="1"/>
  </si>
  <si>
    <t>後</t>
    <rPh sb="0" eb="1">
      <t>アト</t>
    </rPh>
    <phoneticPr fontId="1"/>
  </si>
  <si>
    <t xml:space="preserve"> </t>
    <phoneticPr fontId="1"/>
  </si>
  <si>
    <t>名前</t>
    <rPh sb="0" eb="2">
      <t>ナマエ</t>
    </rPh>
    <phoneticPr fontId="1"/>
  </si>
  <si>
    <t>年齢</t>
    <rPh sb="0" eb="2">
      <t>ネンレイ</t>
    </rPh>
    <phoneticPr fontId="1"/>
  </si>
  <si>
    <t>前</t>
    <rPh sb="0" eb="1">
      <t>ゼン</t>
    </rPh>
    <phoneticPr fontId="1"/>
  </si>
  <si>
    <t>後</t>
    <rPh sb="0" eb="1">
      <t>ゴ</t>
    </rPh>
    <phoneticPr fontId="1"/>
  </si>
  <si>
    <t xml:space="preserve"> </t>
    <phoneticPr fontId="1"/>
  </si>
  <si>
    <t>前後差</t>
    <phoneticPr fontId="1"/>
  </si>
  <si>
    <t>前後差</t>
    <phoneticPr fontId="1"/>
  </si>
  <si>
    <t>S</t>
    <phoneticPr fontId="1"/>
  </si>
  <si>
    <t>W</t>
    <phoneticPr fontId="1"/>
  </si>
  <si>
    <t>N</t>
    <phoneticPr fontId="1"/>
  </si>
  <si>
    <t>SK</t>
    <phoneticPr fontId="1"/>
  </si>
  <si>
    <t>K</t>
    <phoneticPr fontId="1"/>
  </si>
  <si>
    <t>M</t>
    <phoneticPr fontId="1"/>
  </si>
  <si>
    <t>Y</t>
    <phoneticPr fontId="1"/>
  </si>
  <si>
    <t>　　  緊張－不安</t>
    <rPh sb="4" eb="6">
      <t>キンチョウ</t>
    </rPh>
    <rPh sb="7" eb="9">
      <t>フアン</t>
    </rPh>
    <phoneticPr fontId="1"/>
  </si>
  <si>
    <t>　　  抑うつー落込み</t>
    <rPh sb="4" eb="5">
      <t>ヨク</t>
    </rPh>
    <rPh sb="8" eb="9">
      <t>オ</t>
    </rPh>
    <rPh sb="9" eb="10">
      <t>コ</t>
    </rPh>
    <phoneticPr fontId="1"/>
  </si>
  <si>
    <t>　　　   活気</t>
    <rPh sb="6" eb="8">
      <t>カッキ</t>
    </rPh>
    <phoneticPr fontId="1"/>
  </si>
  <si>
    <t>　　　   疲労</t>
    <rPh sb="6" eb="8">
      <t>ヒロウ</t>
    </rPh>
    <phoneticPr fontId="1"/>
  </si>
  <si>
    <t>　　　　   混乱</t>
    <rPh sb="7" eb="9">
      <t>コンラン</t>
    </rPh>
    <phoneticPr fontId="1"/>
  </si>
  <si>
    <t>　   　怒り―敵意</t>
    <rPh sb="5" eb="6">
      <t>イカ</t>
    </rPh>
    <rPh sb="8" eb="10">
      <t>テキイ</t>
    </rPh>
    <phoneticPr fontId="1"/>
  </si>
  <si>
    <t xml:space="preserve">         TMD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</si>
</sst>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1" xfId="0" applyBorder="1">
      <alignment vertical="center"/>
    </xf>
    <xf numFmtId="0" fontId="0" fillId="0" borderId="7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9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2" xfId="0" applyBorder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20"/>
  <sheetViews>
    <sheetView tabSelected="1" workbookViewId="0">
      <selection activeCell="I5" sqref="I5:K11"/>
    </sheetView>
  </sheetViews>
  <sheetFormatPr defaultRowHeight="13.5" x14ac:dyDescent="0.15"/>
  <cols>
    <col min="1" max="1" width="4.25" customWidth="1"/>
    <col min="2" max="2" width="5.25" customWidth="1"/>
    <col min="3" max="3" width="6.625" customWidth="1"/>
    <col min="4" max="4" width="7" customWidth="1"/>
    <col min="5" max="5" width="6" customWidth="1"/>
    <col min="6" max="6" width="6.5" customWidth="1"/>
    <col min="7" max="7" width="7.125" customWidth="1"/>
    <col min="8" max="9" width="6" customWidth="1"/>
    <col min="10" max="10" width="6.75" customWidth="1"/>
    <col min="11" max="11" width="7.375" customWidth="1"/>
    <col min="12" max="13" width="6.625" customWidth="1"/>
    <col min="14" max="15" width="7" customWidth="1"/>
    <col min="16" max="16" width="6.25" customWidth="1"/>
    <col min="17" max="17" width="7" customWidth="1"/>
    <col min="18" max="18" width="6.75" customWidth="1"/>
    <col min="19" max="19" width="7" customWidth="1"/>
    <col min="20" max="20" width="6.875" customWidth="1"/>
    <col min="21" max="21" width="6" customWidth="1"/>
    <col min="22" max="22" width="7" customWidth="1"/>
    <col min="23" max="23" width="6.875" customWidth="1"/>
    <col min="24" max="24" width="10.5" bestFit="1" customWidth="1"/>
  </cols>
  <sheetData>
    <row r="2" spans="1:26" ht="14.25" thickBot="1" x14ac:dyDescent="0.2"/>
    <row r="3" spans="1:26" ht="14.25" thickBot="1" x14ac:dyDescent="0.2">
      <c r="A3" s="15" t="s">
        <v>4</v>
      </c>
      <c r="B3" s="5" t="s">
        <v>3</v>
      </c>
      <c r="C3" s="27" t="s">
        <v>17</v>
      </c>
      <c r="D3" s="32"/>
      <c r="E3" s="28"/>
      <c r="F3" s="27" t="s">
        <v>18</v>
      </c>
      <c r="G3" s="32"/>
      <c r="H3" s="32"/>
      <c r="I3" s="32"/>
      <c r="J3" s="33" t="s">
        <v>22</v>
      </c>
      <c r="K3" s="32"/>
      <c r="L3" s="32"/>
      <c r="M3" s="33" t="s">
        <v>19</v>
      </c>
      <c r="N3" s="32"/>
      <c r="O3" s="28"/>
      <c r="P3" s="6" t="s">
        <v>20</v>
      </c>
      <c r="Q3" s="6"/>
      <c r="R3" s="6"/>
      <c r="S3" s="5" t="s">
        <v>21</v>
      </c>
      <c r="T3" s="6"/>
      <c r="U3" s="2"/>
      <c r="V3" s="6" t="s">
        <v>23</v>
      </c>
      <c r="W3" s="2"/>
    </row>
    <row r="4" spans="1:26" ht="14.25" thickBot="1" x14ac:dyDescent="0.2">
      <c r="A4" s="15"/>
      <c r="B4" s="15"/>
      <c r="C4" s="29" t="s">
        <v>0</v>
      </c>
      <c r="D4" s="30" t="s">
        <v>1</v>
      </c>
      <c r="E4" s="34" t="s">
        <v>9</v>
      </c>
      <c r="F4" s="18" t="s">
        <v>0</v>
      </c>
      <c r="G4" s="18" t="s">
        <v>1</v>
      </c>
      <c r="H4" s="35" t="s">
        <v>8</v>
      </c>
      <c r="I4" s="47"/>
      <c r="J4" s="29" t="s">
        <v>0</v>
      </c>
      <c r="K4" s="30" t="s">
        <v>1</v>
      </c>
      <c r="L4" s="31" t="s">
        <v>8</v>
      </c>
      <c r="M4" s="16" t="s">
        <v>0</v>
      </c>
      <c r="N4" s="18" t="s">
        <v>1</v>
      </c>
      <c r="O4" s="36" t="s">
        <v>8</v>
      </c>
      <c r="P4" s="18" t="s">
        <v>0</v>
      </c>
      <c r="Q4" s="18" t="s">
        <v>1</v>
      </c>
      <c r="R4" s="18" t="s">
        <v>8</v>
      </c>
      <c r="S4" s="24" t="s">
        <v>0</v>
      </c>
      <c r="T4" s="25" t="s">
        <v>1</v>
      </c>
      <c r="U4" s="41" t="s">
        <v>8</v>
      </c>
      <c r="V4" s="18" t="s">
        <v>5</v>
      </c>
      <c r="W4" s="17" t="s">
        <v>6</v>
      </c>
    </row>
    <row r="5" spans="1:26" x14ac:dyDescent="0.15">
      <c r="A5" s="45">
        <v>40</v>
      </c>
      <c r="B5" s="22" t="s">
        <v>10</v>
      </c>
      <c r="C5" s="22">
        <v>36</v>
      </c>
      <c r="D5" s="19">
        <v>34</v>
      </c>
      <c r="E5" s="23">
        <f>D5-C5</f>
        <v>-2</v>
      </c>
      <c r="F5" s="20">
        <v>39</v>
      </c>
      <c r="G5" s="19">
        <v>39</v>
      </c>
      <c r="H5" s="19">
        <v>0</v>
      </c>
      <c r="I5" s="22" t="s">
        <v>10</v>
      </c>
      <c r="J5" s="22">
        <v>37</v>
      </c>
      <c r="K5" s="19">
        <v>37</v>
      </c>
      <c r="L5" s="23">
        <v>0</v>
      </c>
      <c r="M5" s="22">
        <v>39</v>
      </c>
      <c r="N5" s="19">
        <v>58</v>
      </c>
      <c r="O5" s="23">
        <f>N5-M5</f>
        <v>19</v>
      </c>
      <c r="P5" s="20">
        <v>49</v>
      </c>
      <c r="Q5" s="19">
        <v>35</v>
      </c>
      <c r="R5" s="19">
        <v>-14</v>
      </c>
      <c r="S5" s="24">
        <v>36</v>
      </c>
      <c r="T5" s="42">
        <v>36</v>
      </c>
      <c r="U5" s="43">
        <v>0</v>
      </c>
      <c r="V5" s="20">
        <v>5</v>
      </c>
      <c r="W5" s="23">
        <v>-11</v>
      </c>
    </row>
    <row r="6" spans="1:26" x14ac:dyDescent="0.15">
      <c r="A6" s="45">
        <v>55</v>
      </c>
      <c r="B6" s="22" t="s">
        <v>11</v>
      </c>
      <c r="C6" s="22">
        <v>48</v>
      </c>
      <c r="D6" s="19">
        <v>41</v>
      </c>
      <c r="E6" s="23">
        <v>-7</v>
      </c>
      <c r="F6" s="20">
        <v>61</v>
      </c>
      <c r="G6" s="19">
        <v>49</v>
      </c>
      <c r="H6" s="19">
        <f>G6-F6</f>
        <v>-12</v>
      </c>
      <c r="I6" s="22" t="s">
        <v>11</v>
      </c>
      <c r="J6" s="22">
        <v>48</v>
      </c>
      <c r="K6" s="19">
        <v>40</v>
      </c>
      <c r="L6" s="23">
        <v>-8</v>
      </c>
      <c r="M6" s="22">
        <v>32</v>
      </c>
      <c r="N6" s="19">
        <v>34</v>
      </c>
      <c r="O6" s="23">
        <v>2</v>
      </c>
      <c r="P6" s="20">
        <v>59</v>
      </c>
      <c r="Q6" s="19">
        <v>49</v>
      </c>
      <c r="R6" s="19">
        <v>-10</v>
      </c>
      <c r="S6" s="22">
        <v>45</v>
      </c>
      <c r="T6" s="19">
        <v>36</v>
      </c>
      <c r="U6" s="23">
        <v>-9</v>
      </c>
      <c r="V6" s="20">
        <v>34</v>
      </c>
      <c r="W6" s="23">
        <v>14</v>
      </c>
    </row>
    <row r="7" spans="1:26" x14ac:dyDescent="0.15">
      <c r="A7" s="46">
        <v>33</v>
      </c>
      <c r="B7" s="37" t="s">
        <v>12</v>
      </c>
      <c r="C7" s="37">
        <v>34</v>
      </c>
      <c r="D7" s="38">
        <v>34</v>
      </c>
      <c r="E7" s="39">
        <v>0</v>
      </c>
      <c r="F7" s="40">
        <v>39</v>
      </c>
      <c r="G7" s="38">
        <v>39</v>
      </c>
      <c r="H7" s="38">
        <v>0</v>
      </c>
      <c r="I7" s="37" t="s">
        <v>12</v>
      </c>
      <c r="J7" s="37">
        <v>37</v>
      </c>
      <c r="K7" s="38">
        <v>37</v>
      </c>
      <c r="L7" s="39">
        <v>0</v>
      </c>
      <c r="M7" s="37">
        <v>62</v>
      </c>
      <c r="N7" s="38">
        <v>37</v>
      </c>
      <c r="O7" s="39">
        <f>N7-M7</f>
        <v>-25</v>
      </c>
      <c r="P7" s="40">
        <v>35</v>
      </c>
      <c r="Q7" s="38">
        <v>45</v>
      </c>
      <c r="R7" s="38">
        <v>10</v>
      </c>
      <c r="S7" s="37">
        <v>45</v>
      </c>
      <c r="T7" s="38">
        <v>36</v>
      </c>
      <c r="U7" s="39">
        <v>-9</v>
      </c>
      <c r="V7" s="40">
        <v>-10</v>
      </c>
      <c r="W7" s="39">
        <v>3</v>
      </c>
    </row>
    <row r="8" spans="1:26" x14ac:dyDescent="0.15">
      <c r="A8" s="45">
        <v>18</v>
      </c>
      <c r="B8" s="22" t="s">
        <v>13</v>
      </c>
      <c r="C8" s="22">
        <v>53</v>
      </c>
      <c r="D8" s="19">
        <v>30</v>
      </c>
      <c r="E8" s="23">
        <v>-23</v>
      </c>
      <c r="F8" s="20">
        <v>41</v>
      </c>
      <c r="G8" s="19">
        <v>39</v>
      </c>
      <c r="H8" s="19">
        <v>-2</v>
      </c>
      <c r="I8" s="22" t="s">
        <v>13</v>
      </c>
      <c r="J8" s="22">
        <v>37</v>
      </c>
      <c r="K8" s="19">
        <v>37</v>
      </c>
      <c r="L8" s="23">
        <v>0</v>
      </c>
      <c r="M8" s="22">
        <v>37</v>
      </c>
      <c r="N8" s="19">
        <v>59</v>
      </c>
      <c r="O8" s="23">
        <f>N8-M8</f>
        <v>22</v>
      </c>
      <c r="P8" s="20">
        <v>33</v>
      </c>
      <c r="Q8" s="19">
        <v>31</v>
      </c>
      <c r="R8" s="19">
        <v>-2</v>
      </c>
      <c r="S8" s="22">
        <v>39</v>
      </c>
      <c r="T8" s="19">
        <v>37</v>
      </c>
      <c r="U8" s="23">
        <v>-2</v>
      </c>
      <c r="V8" s="20">
        <v>14</v>
      </c>
      <c r="W8" s="23">
        <v>-9</v>
      </c>
      <c r="Z8" s="7"/>
    </row>
    <row r="9" spans="1:26" x14ac:dyDescent="0.15">
      <c r="A9" s="45">
        <v>30</v>
      </c>
      <c r="B9" s="22" t="s">
        <v>14</v>
      </c>
      <c r="C9" s="22">
        <v>39</v>
      </c>
      <c r="D9" s="19">
        <v>34</v>
      </c>
      <c r="E9" s="23">
        <v>-5</v>
      </c>
      <c r="F9" s="20">
        <v>42</v>
      </c>
      <c r="G9" s="19">
        <v>39</v>
      </c>
      <c r="H9" s="19">
        <v>-3</v>
      </c>
      <c r="I9" s="22" t="s">
        <v>14</v>
      </c>
      <c r="J9" s="22">
        <v>37</v>
      </c>
      <c r="K9" s="19">
        <v>37</v>
      </c>
      <c r="L9" s="23">
        <v>0</v>
      </c>
      <c r="M9" s="22">
        <v>51</v>
      </c>
      <c r="N9" s="19">
        <v>39</v>
      </c>
      <c r="O9" s="23">
        <f>N9-M9</f>
        <v>-12</v>
      </c>
      <c r="P9" s="20">
        <v>37</v>
      </c>
      <c r="Q9" s="19">
        <v>33</v>
      </c>
      <c r="R9" s="19">
        <v>-4</v>
      </c>
      <c r="S9" s="22">
        <v>39</v>
      </c>
      <c r="T9" s="19">
        <v>42</v>
      </c>
      <c r="U9" s="23">
        <v>3</v>
      </c>
      <c r="V9" s="20">
        <v>-3</v>
      </c>
      <c r="W9" s="23">
        <v>-1</v>
      </c>
    </row>
    <row r="10" spans="1:26" x14ac:dyDescent="0.15">
      <c r="A10" s="45">
        <v>49</v>
      </c>
      <c r="B10" s="22" t="s">
        <v>15</v>
      </c>
      <c r="C10" s="22">
        <v>41</v>
      </c>
      <c r="D10" s="19">
        <v>34</v>
      </c>
      <c r="E10" s="23">
        <v>-7</v>
      </c>
      <c r="F10" s="20">
        <v>44</v>
      </c>
      <c r="G10" s="19">
        <v>42</v>
      </c>
      <c r="H10" s="19">
        <v>-2</v>
      </c>
      <c r="I10" s="22" t="s">
        <v>15</v>
      </c>
      <c r="J10" s="22">
        <v>37</v>
      </c>
      <c r="K10" s="19">
        <v>37</v>
      </c>
      <c r="L10" s="23">
        <v>0</v>
      </c>
      <c r="M10" s="22">
        <v>41</v>
      </c>
      <c r="N10" s="19">
        <v>44</v>
      </c>
      <c r="O10" s="23">
        <v>3</v>
      </c>
      <c r="P10" s="20">
        <v>45</v>
      </c>
      <c r="Q10" s="19">
        <v>39</v>
      </c>
      <c r="R10" s="19">
        <v>-6</v>
      </c>
      <c r="S10" s="22">
        <v>42</v>
      </c>
      <c r="T10" s="19">
        <v>36</v>
      </c>
      <c r="U10" s="23">
        <v>-6</v>
      </c>
      <c r="V10" s="20">
        <v>8</v>
      </c>
      <c r="W10" s="23">
        <v>-2</v>
      </c>
    </row>
    <row r="11" spans="1:26" x14ac:dyDescent="0.15">
      <c r="A11" s="46">
        <v>35</v>
      </c>
      <c r="B11" s="37" t="s">
        <v>16</v>
      </c>
      <c r="C11" s="37">
        <v>35</v>
      </c>
      <c r="D11" s="38">
        <v>33</v>
      </c>
      <c r="E11" s="39">
        <v>-2</v>
      </c>
      <c r="F11" s="40">
        <v>50</v>
      </c>
      <c r="G11" s="38">
        <v>45</v>
      </c>
      <c r="H11" s="38">
        <v>-5</v>
      </c>
      <c r="I11" s="37" t="s">
        <v>16</v>
      </c>
      <c r="J11" s="37">
        <v>37</v>
      </c>
      <c r="K11" s="38">
        <v>37</v>
      </c>
      <c r="L11" s="39">
        <v>0</v>
      </c>
      <c r="M11" s="37">
        <v>61</v>
      </c>
      <c r="N11" s="38">
        <v>66</v>
      </c>
      <c r="O11" s="39">
        <v>5</v>
      </c>
      <c r="P11" s="40">
        <v>44</v>
      </c>
      <c r="Q11" s="38">
        <v>40</v>
      </c>
      <c r="R11" s="38">
        <v>-4</v>
      </c>
      <c r="S11" s="37">
        <v>45</v>
      </c>
      <c r="T11" s="38">
        <v>39</v>
      </c>
      <c r="U11" s="39">
        <v>-6</v>
      </c>
      <c r="V11" s="40">
        <v>-1</v>
      </c>
      <c r="W11" s="39">
        <v>-10</v>
      </c>
    </row>
    <row r="12" spans="1:26" x14ac:dyDescent="0.15">
      <c r="A12" s="13"/>
      <c r="B12" s="3"/>
      <c r="C12" s="22">
        <f>SUM(C5:C11)</f>
        <v>286</v>
      </c>
      <c r="D12" s="19">
        <f>SUM(D5:D11)</f>
        <v>240</v>
      </c>
      <c r="E12" s="23"/>
      <c r="F12" s="20">
        <f>SUM(F5:F11)</f>
        <v>316</v>
      </c>
      <c r="G12" s="19">
        <f>SUM(G5:G11)</f>
        <v>292</v>
      </c>
      <c r="H12" s="19"/>
      <c r="I12" s="19"/>
      <c r="J12" s="22">
        <f>SUM(J5:J11)</f>
        <v>270</v>
      </c>
      <c r="K12" s="19">
        <f>SUM(K5:K11)</f>
        <v>262</v>
      </c>
      <c r="L12" s="23"/>
      <c r="M12" s="22">
        <f>SUM(M5:M11)</f>
        <v>323</v>
      </c>
      <c r="N12" s="19">
        <f>SUM(N5:N11)</f>
        <v>337</v>
      </c>
      <c r="O12" s="23"/>
      <c r="P12" s="20">
        <f>SUM(P5:P11)</f>
        <v>302</v>
      </c>
      <c r="Q12" s="19">
        <f>SUM(Q5:Q11)</f>
        <v>272</v>
      </c>
      <c r="R12" s="19"/>
      <c r="S12" s="22">
        <f>SUM(S5:S11)</f>
        <v>291</v>
      </c>
      <c r="T12" s="19">
        <f>SUM(T5:T11)</f>
        <v>262</v>
      </c>
      <c r="U12" s="23"/>
      <c r="V12" s="20">
        <f>SUM(V5:V11)</f>
        <v>47</v>
      </c>
      <c r="W12" s="23">
        <f>SUM(W5:W11)</f>
        <v>-16</v>
      </c>
    </row>
    <row r="13" spans="1:26" x14ac:dyDescent="0.15">
      <c r="A13" s="13"/>
      <c r="B13" s="3"/>
      <c r="C13" s="22">
        <v>40.86</v>
      </c>
      <c r="D13" s="19">
        <v>34.29</v>
      </c>
      <c r="E13" s="23"/>
      <c r="F13" s="21">
        <v>45.14</v>
      </c>
      <c r="G13" s="19">
        <v>41.71</v>
      </c>
      <c r="H13" s="19"/>
      <c r="I13" s="19"/>
      <c r="J13" s="22">
        <v>38.57</v>
      </c>
      <c r="K13" s="19">
        <v>37.43</v>
      </c>
      <c r="L13" s="23"/>
      <c r="M13" s="26">
        <v>46.14</v>
      </c>
      <c r="N13" s="19">
        <v>48.14</v>
      </c>
      <c r="O13" s="23"/>
      <c r="P13" s="21">
        <v>43.14</v>
      </c>
      <c r="Q13" s="19">
        <v>38.86</v>
      </c>
      <c r="R13" s="19"/>
      <c r="S13" s="22">
        <v>41.57</v>
      </c>
      <c r="T13" s="19">
        <v>37.43</v>
      </c>
      <c r="U13" s="23"/>
      <c r="V13" s="20">
        <v>6.71</v>
      </c>
      <c r="W13" s="23">
        <v>-2.29</v>
      </c>
    </row>
    <row r="14" spans="1:26" ht="14.25" thickBot="1" x14ac:dyDescent="0.2">
      <c r="A14" s="14"/>
      <c r="B14" s="4"/>
      <c r="C14" s="8"/>
      <c r="D14" s="11"/>
      <c r="E14" s="9"/>
      <c r="F14" s="10"/>
      <c r="G14" s="11"/>
      <c r="H14" s="11"/>
      <c r="I14" s="11"/>
      <c r="J14" s="8"/>
      <c r="K14" s="11"/>
      <c r="L14" s="9"/>
      <c r="M14" s="8" t="s">
        <v>2</v>
      </c>
      <c r="N14" s="10" t="s">
        <v>2</v>
      </c>
      <c r="O14" s="12"/>
      <c r="P14" s="10"/>
      <c r="Q14" s="11"/>
      <c r="R14" s="11"/>
      <c r="S14" s="8"/>
      <c r="T14" s="10"/>
      <c r="U14" s="12"/>
      <c r="V14" s="10" t="s">
        <v>7</v>
      </c>
      <c r="W14" s="12"/>
    </row>
    <row r="15" spans="1:26" x14ac:dyDescent="0.15">
      <c r="D15" s="1">
        <f>C13-D13</f>
        <v>6.57</v>
      </c>
      <c r="E15" s="1"/>
      <c r="G15" s="1">
        <f>F13-G13</f>
        <v>3.4299999999999997</v>
      </c>
      <c r="H15" s="1"/>
      <c r="I15" s="1"/>
      <c r="K15" s="1">
        <f>J13-K13</f>
        <v>1.1400000000000006</v>
      </c>
      <c r="L15" s="1"/>
      <c r="M15" s="1"/>
      <c r="N15" s="1">
        <f>M13-N13</f>
        <v>-2</v>
      </c>
      <c r="O15" s="1"/>
      <c r="Q15">
        <f>P13-Q13</f>
        <v>4.2800000000000011</v>
      </c>
      <c r="T15">
        <f>S13-T13</f>
        <v>4.1400000000000006</v>
      </c>
      <c r="W15">
        <f>V13-W13</f>
        <v>9</v>
      </c>
    </row>
    <row r="16" spans="1:26" x14ac:dyDescent="0.15">
      <c r="D16" s="1"/>
      <c r="E16" s="1"/>
      <c r="K16" s="1"/>
      <c r="L16" s="1"/>
      <c r="M16" s="1"/>
      <c r="N16" s="1"/>
      <c r="O16" s="1"/>
    </row>
    <row r="17" spans="4:15" x14ac:dyDescent="0.15">
      <c r="D17" s="1"/>
      <c r="E17" s="1"/>
      <c r="K17" s="1"/>
      <c r="L17" s="1"/>
      <c r="M17" s="1"/>
      <c r="N17" s="1"/>
      <c r="O17" s="1"/>
    </row>
    <row r="18" spans="4:15" x14ac:dyDescent="0.15">
      <c r="D18" s="1"/>
      <c r="E18" s="1"/>
    </row>
    <row r="19" spans="4:15" x14ac:dyDescent="0.15">
      <c r="D19" s="1"/>
      <c r="E19" s="1"/>
    </row>
    <row r="20" spans="4:15" x14ac:dyDescent="0.15">
      <c r="D20" s="1"/>
      <c r="E20" s="1"/>
      <c r="M20" s="44"/>
    </row>
  </sheetData>
  <phoneticPr fontId="1"/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Foundation</dc:creator>
  <cp:lastModifiedBy>Kita</cp:lastModifiedBy>
  <cp:lastPrinted>2012-03-17T05:04:10Z</cp:lastPrinted>
  <dcterms:created xsi:type="dcterms:W3CDTF">2011-03-13T05:16:43Z</dcterms:created>
  <dcterms:modified xsi:type="dcterms:W3CDTF">2020-07-07T20:40:25Z</dcterms:modified>
</cp:coreProperties>
</file>